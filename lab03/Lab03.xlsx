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so1_AquaSense" sheetId="1" state="visible" r:id="rId1"/>
    <sheet xmlns:r="http://schemas.openxmlformats.org/officeDocument/2006/relationships" name="Caso2_Ecomove" sheetId="2" state="visible" r:id="rId2"/>
    <sheet xmlns:r="http://schemas.openxmlformats.org/officeDocument/2006/relationships" name="Caso3_LegendaryCla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"/>
    <numFmt numFmtId="167" formatCode="&quot;S/. &quot;#,##0.00"/>
  </numFmts>
  <fonts count="14">
    <font>
      <name val="Calibri"/>
      <color theme="1"/>
      <sz val="11"/>
      <scheme val="minor"/>
    </font>
    <font>
      <name val="Arial"/>
      <b val="1"/>
      <color rgb="FFFFFFFF"/>
      <sz val="14"/>
    </font>
    <font/>
    <font>
      <name val="Arial"/>
      <b val="1"/>
      <color rgb="FFFFFFFF"/>
      <sz val="11"/>
    </font>
    <font>
      <name val="Arial"/>
      <b val="1"/>
      <color rgb="FF1F1F1F"/>
      <sz val="10"/>
    </font>
    <font>
      <name val="Arial"/>
      <b val="1"/>
      <color theme="1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color rgb="FF000000"/>
      <sz val="9"/>
    </font>
    <font>
      <b val="1"/>
      <color rgb="00FFFFFF"/>
      <sz val="14"/>
    </font>
    <font>
      <b val="1"/>
      <color rgb="00FFFFFF"/>
      <sz val="11"/>
    </font>
    <font>
      <b val="1"/>
      <color rgb="00000000"/>
      <sz val="10"/>
    </font>
    <font>
      <color rgb="00000000"/>
      <sz val="10"/>
    </font>
    <font>
      <color rgb="00595959"/>
      <sz val="9"/>
    </font>
  </fonts>
  <fills count="15">
    <fill>
      <patternFill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0070C0"/>
        <bgColor rgb="FF0070C0"/>
      </patternFill>
    </fill>
    <fill>
      <patternFill patternType="solid">
        <fgColor rgb="FFCCCCFF"/>
        <bgColor rgb="FFCCCCFF"/>
      </patternFill>
    </fill>
    <fill>
      <patternFill patternType="solid">
        <fgColor rgb="FFFFC000"/>
        <bgColor rgb="FFFFC000"/>
      </patternFill>
    </fill>
    <fill>
      <patternFill patternType="solid">
        <fgColor rgb="FFD0FCED"/>
        <bgColor rgb="FFD0FCED"/>
      </patternFill>
    </fill>
    <fill>
      <patternFill patternType="solid">
        <fgColor rgb="FF00B050"/>
        <bgColor rgb="FF00B050"/>
      </patternFill>
    </fill>
    <fill>
      <patternFill patternType="solid">
        <fgColor rgb="007030A0"/>
      </patternFill>
    </fill>
    <fill>
      <patternFill patternType="solid">
        <fgColor rgb="000070C0"/>
      </patternFill>
    </fill>
    <fill>
      <patternFill patternType="solid">
        <fgColor rgb="00CCCCFF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top style="thin">
        <color rgb="FFAAAAAA"/>
      </top>
    </border>
    <border>
      <right style="thin">
        <color rgb="FFAAAAAA"/>
      </right>
      <top style="thin">
        <color rgb="FFAAAAAA"/>
      </top>
    </border>
    <border>
      <left/>
      <right/>
      <top/>
      <bottom/>
    </border>
    <border>
      <left style="thin">
        <color rgb="FFAAAAAA"/>
      </left>
      <right/>
      <top style="thin">
        <color rgb="FFAAAAAA"/>
      </top>
      <bottom style="thin">
        <color rgb="FFAAAAAA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5" fillId="0" borderId="4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3" fontId="5" fillId="5" borderId="4" applyAlignment="1" pivotButton="0" quotePrefix="0" xfId="0">
      <alignment horizontal="right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3" fontId="6" fillId="5" borderId="4" applyAlignment="1" pivotButton="0" quotePrefix="0" xfId="0">
      <alignment horizontal="right" vertical="center"/>
    </xf>
    <xf numFmtId="9" fontId="6" fillId="0" borderId="4" applyAlignment="1" pivotButton="0" quotePrefix="0" xfId="0">
      <alignment horizontal="center" vertical="center"/>
    </xf>
    <xf numFmtId="3" fontId="5" fillId="6" borderId="4" applyAlignment="1" pivotButton="0" quotePrefix="0" xfId="0">
      <alignment horizontal="right" vertical="center"/>
    </xf>
    <xf numFmtId="0" fontId="6" fillId="0" borderId="0" applyAlignment="1" pivotButton="0" quotePrefix="0" xfId="0">
      <alignment vertical="bottom"/>
    </xf>
    <xf numFmtId="3" fontId="6" fillId="0" borderId="4" applyAlignment="1" pivotButton="0" quotePrefix="0" xfId="0">
      <alignment horizontal="right" vertical="center"/>
    </xf>
    <xf numFmtId="164" fontId="6" fillId="0" borderId="4" applyAlignment="1" pivotButton="0" quotePrefix="0" xfId="0">
      <alignment horizontal="right" vertical="center"/>
    </xf>
    <xf numFmtId="165" fontId="6" fillId="0" borderId="4" applyAlignment="1" pivotButton="0" quotePrefix="0" xfId="0">
      <alignment horizontal="right" vertical="center"/>
    </xf>
    <xf numFmtId="166" fontId="6" fillId="0" borderId="5" applyAlignment="1" pivotButton="0" quotePrefix="0" xfId="0">
      <alignment horizontal="right" vertical="center"/>
    </xf>
    <xf numFmtId="3" fontId="5" fillId="0" borderId="4" applyAlignment="1" pivotButton="0" quotePrefix="0" xfId="0">
      <alignment horizontal="right" vertical="center"/>
    </xf>
    <xf numFmtId="166" fontId="5" fillId="6" borderId="5" applyAlignment="1" pivotButton="0" quotePrefix="0" xfId="0">
      <alignment horizontal="right" vertical="center"/>
    </xf>
    <xf numFmtId="0" fontId="7" fillId="7" borderId="5" applyAlignment="1" pivotButton="0" quotePrefix="0" xfId="0">
      <alignment horizontal="left" vertical="center"/>
    </xf>
    <xf numFmtId="0" fontId="2" fillId="0" borderId="8" pivotButton="0" quotePrefix="0" xfId="0"/>
    <xf numFmtId="0" fontId="8" fillId="0" borderId="0" applyAlignment="1" pivotButton="0" quotePrefix="0" xfId="0">
      <alignment vertical="bottom"/>
    </xf>
    <xf numFmtId="0" fontId="5" fillId="0" borderId="5" applyAlignment="1" pivotButton="0" quotePrefix="0" xfId="0">
      <alignment vertical="bottom"/>
    </xf>
    <xf numFmtId="0" fontId="5" fillId="5" borderId="4" applyAlignment="1" pivotButton="0" quotePrefix="0" xfId="0">
      <alignment horizontal="right" vertical="center"/>
    </xf>
    <xf numFmtId="0" fontId="8" fillId="0" borderId="5" applyAlignment="1" pivotButton="0" quotePrefix="0" xfId="0">
      <alignment vertical="bottom"/>
    </xf>
    <xf numFmtId="0" fontId="6" fillId="0" borderId="4" applyAlignment="1" pivotButton="0" quotePrefix="0" xfId="0">
      <alignment horizontal="right" vertical="center"/>
    </xf>
    <xf numFmtId="0" fontId="6" fillId="0" borderId="5" applyAlignment="1" pivotButton="0" quotePrefix="0" xfId="0">
      <alignment horizontal="right" vertical="center"/>
    </xf>
    <xf numFmtId="0" fontId="5" fillId="6" borderId="5" applyAlignment="1" pivotButton="0" quotePrefix="0" xfId="0">
      <alignment horizontal="right" vertical="center"/>
    </xf>
    <xf numFmtId="1" fontId="6" fillId="0" borderId="4" applyAlignment="1" pivotButton="0" quotePrefix="0" xfId="0">
      <alignment horizontal="right" vertical="center"/>
    </xf>
    <xf numFmtId="0" fontId="6" fillId="6" borderId="4" applyAlignment="1" pivotButton="0" quotePrefix="0" xfId="0">
      <alignment horizontal="right" vertical="center"/>
    </xf>
    <xf numFmtId="0" fontId="0" fillId="0" borderId="0" pivotButton="0" quotePrefix="0" xfId="0"/>
    <xf numFmtId="0" fontId="1" fillId="2" borderId="11" applyAlignment="1" pivotButton="0" quotePrefix="0" xfId="0">
      <alignment horizontal="center" vertical="center"/>
    </xf>
    <xf numFmtId="0" fontId="3" fillId="3" borderId="11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166" fontId="6" fillId="0" borderId="4" applyAlignment="1" pivotButton="0" quotePrefix="0" xfId="0">
      <alignment horizontal="right" vertical="center"/>
    </xf>
    <xf numFmtId="166" fontId="5" fillId="6" borderId="4" applyAlignment="1" pivotButton="0" quotePrefix="0" xfId="0">
      <alignment horizontal="right" vertical="center"/>
    </xf>
    <xf numFmtId="0" fontId="7" fillId="7" borderId="12" applyAlignment="1" pivotButton="0" quotePrefix="0" xfId="0">
      <alignment horizontal="left" vertical="center"/>
    </xf>
    <xf numFmtId="0" fontId="5" fillId="6" borderId="4" applyAlignment="1" pivotButton="0" quotePrefix="0" xfId="0">
      <alignment horizontal="right" vertical="center"/>
    </xf>
    <xf numFmtId="0" fontId="9" fillId="8" borderId="0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left" vertical="center" wrapText="1"/>
    </xf>
    <xf numFmtId="0" fontId="11" fillId="10" borderId="13" applyAlignment="1" pivotButton="0" quotePrefix="0" xfId="0">
      <alignment horizontal="center" vertical="center" wrapText="1"/>
    </xf>
    <xf numFmtId="0" fontId="11" fillId="0" borderId="13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/>
    </xf>
    <xf numFmtId="3" fontId="12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9" fontId="12" fillId="0" borderId="13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10" fontId="12" fillId="0" borderId="13" applyAlignment="1" pivotButton="0" quotePrefix="0" xfId="0">
      <alignment horizontal="center" vertical="center"/>
    </xf>
    <xf numFmtId="167" fontId="12" fillId="0" borderId="13" applyAlignment="1" pivotButton="0" quotePrefix="0" xfId="0">
      <alignment horizontal="center" vertical="center"/>
    </xf>
    <xf numFmtId="0" fontId="11" fillId="11" borderId="13" applyAlignment="1" pivotButton="0" quotePrefix="0" xfId="0">
      <alignment horizontal="center" vertical="center"/>
    </xf>
    <xf numFmtId="3" fontId="11" fillId="11" borderId="13" applyAlignment="1" pivotButton="0" quotePrefix="0" xfId="0">
      <alignment horizontal="center" vertical="center"/>
    </xf>
    <xf numFmtId="0" fontId="0" fillId="0" borderId="13" pivotButton="0" quotePrefix="0" xfId="0"/>
    <xf numFmtId="167" fontId="11" fillId="11" borderId="13" applyAlignment="1" pivotButton="0" quotePrefix="0" xfId="0">
      <alignment horizontal="center" vertical="center"/>
    </xf>
    <xf numFmtId="167" fontId="11" fillId="0" borderId="13" applyAlignment="1" pivotButton="0" quotePrefix="0" xfId="0">
      <alignment horizontal="center" vertical="center"/>
    </xf>
    <xf numFmtId="3" fontId="11" fillId="0" borderId="13" applyAlignment="1" pivotButton="0" quotePrefix="0" xfId="0">
      <alignment horizontal="center" vertical="center"/>
    </xf>
    <xf numFmtId="0" fontId="12" fillId="12" borderId="13" applyAlignment="1" pivotButton="0" quotePrefix="0" xfId="0">
      <alignment horizontal="center" vertical="center"/>
    </xf>
    <xf numFmtId="9" fontId="12" fillId="12" borderId="13" applyAlignment="1" pivotButton="0" quotePrefix="0" xfId="0">
      <alignment horizontal="center" vertical="center"/>
    </xf>
    <xf numFmtId="3" fontId="12" fillId="12" borderId="13" applyAlignment="1" pivotButton="0" quotePrefix="0" xfId="0">
      <alignment horizontal="center" vertical="center"/>
    </xf>
    <xf numFmtId="167" fontId="12" fillId="12" borderId="13" applyAlignment="1" pivotButton="0" quotePrefix="0" xfId="0">
      <alignment horizontal="center" vertical="center"/>
    </xf>
    <xf numFmtId="0" fontId="12" fillId="13" borderId="13" applyAlignment="1" pivotButton="0" quotePrefix="0" xfId="0">
      <alignment horizontal="center" vertical="center"/>
    </xf>
    <xf numFmtId="9" fontId="12" fillId="13" borderId="13" applyAlignment="1" pivotButton="0" quotePrefix="0" xfId="0">
      <alignment horizontal="center" vertical="center"/>
    </xf>
    <xf numFmtId="3" fontId="12" fillId="13" borderId="13" applyAlignment="1" pivotButton="0" quotePrefix="0" xfId="0">
      <alignment horizontal="center" vertical="center"/>
    </xf>
    <xf numFmtId="167" fontId="12" fillId="13" borderId="13" applyAlignment="1" pivotButton="0" quotePrefix="0" xfId="0">
      <alignment horizontal="center" vertical="center"/>
    </xf>
    <xf numFmtId="0" fontId="12" fillId="14" borderId="13" applyAlignment="1" pivotButton="0" quotePrefix="0" xfId="0">
      <alignment horizontal="center" vertical="center"/>
    </xf>
    <xf numFmtId="9" fontId="12" fillId="14" borderId="13" applyAlignment="1" pivotButton="0" quotePrefix="0" xfId="0">
      <alignment horizontal="center" vertical="center"/>
    </xf>
    <xf numFmtId="3" fontId="12" fillId="14" borderId="13" applyAlignment="1" pivotButton="0" quotePrefix="0" xfId="0">
      <alignment horizontal="center" vertical="center"/>
    </xf>
    <xf numFmtId="167" fontId="12" fillId="14" borderId="13" applyAlignment="1" pivotButton="0" quotePrefix="0" xfId="0">
      <alignment horizontal="center" vertical="center"/>
    </xf>
    <xf numFmtId="1" fontId="12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left" vertical="center"/>
    </xf>
    <xf numFmtId="3" fontId="12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9" fontId="12" fillId="0" borderId="13" applyAlignment="1" pivotButton="0" quotePrefix="0" xfId="0">
      <alignment horizontal="center" vertical="center"/>
    </xf>
    <xf numFmtId="10" fontId="12" fillId="0" borderId="13" applyAlignment="1" pivotButton="0" quotePrefix="0" xfId="0">
      <alignment horizontal="center" vertical="center"/>
    </xf>
    <xf numFmtId="167" fontId="12" fillId="0" borderId="13" applyAlignment="1" pivotButton="0" quotePrefix="0" xfId="0">
      <alignment horizontal="center" vertical="center"/>
    </xf>
    <xf numFmtId="0" fontId="11" fillId="11" borderId="13" applyAlignment="1" pivotButton="0" quotePrefix="0" xfId="0">
      <alignment horizontal="center" vertical="center"/>
    </xf>
    <xf numFmtId="3" fontId="11" fillId="11" borderId="13" applyAlignment="1" pivotButton="0" quotePrefix="0" xfId="0">
      <alignment horizontal="center" vertical="center"/>
    </xf>
    <xf numFmtId="167" fontId="11" fillId="11" borderId="13" applyAlignment="1" pivotButton="0" quotePrefix="0" xfId="0">
      <alignment horizontal="center" vertical="center"/>
    </xf>
    <xf numFmtId="167" fontId="11" fillId="0" borderId="13" applyAlignment="1" pivotButton="0" quotePrefix="0" xfId="0">
      <alignment horizontal="center" vertical="center"/>
    </xf>
    <xf numFmtId="3" fontId="11" fillId="0" borderId="13" applyAlignment="1" pivotButton="0" quotePrefix="0" xfId="0">
      <alignment horizontal="center" vertical="center"/>
    </xf>
    <xf numFmtId="0" fontId="12" fillId="12" borderId="13" applyAlignment="1" pivotButton="0" quotePrefix="0" xfId="0">
      <alignment horizontal="center" vertical="center"/>
    </xf>
    <xf numFmtId="9" fontId="12" fillId="12" borderId="13" applyAlignment="1" pivotButton="0" quotePrefix="0" xfId="0">
      <alignment horizontal="center" vertical="center"/>
    </xf>
    <xf numFmtId="3" fontId="12" fillId="12" borderId="13" applyAlignment="1" pivotButton="0" quotePrefix="0" xfId="0">
      <alignment horizontal="center" vertical="center"/>
    </xf>
    <xf numFmtId="167" fontId="12" fillId="12" borderId="13" applyAlignment="1" pivotButton="0" quotePrefix="0" xfId="0">
      <alignment horizontal="center" vertical="center"/>
    </xf>
    <xf numFmtId="0" fontId="12" fillId="13" borderId="13" applyAlignment="1" pivotButton="0" quotePrefix="0" xfId="0">
      <alignment horizontal="center" vertical="center"/>
    </xf>
    <xf numFmtId="9" fontId="12" fillId="13" borderId="13" applyAlignment="1" pivotButton="0" quotePrefix="0" xfId="0">
      <alignment horizontal="center" vertical="center"/>
    </xf>
    <xf numFmtId="3" fontId="12" fillId="13" borderId="13" applyAlignment="1" pivotButton="0" quotePrefix="0" xfId="0">
      <alignment horizontal="center" vertical="center"/>
    </xf>
    <xf numFmtId="167" fontId="12" fillId="13" borderId="13" applyAlignment="1" pivotButton="0" quotePrefix="0" xfId="0">
      <alignment horizontal="center" vertical="center"/>
    </xf>
    <xf numFmtId="0" fontId="12" fillId="14" borderId="13" applyAlignment="1" pivotButton="0" quotePrefix="0" xfId="0">
      <alignment horizontal="center" vertical="center"/>
    </xf>
    <xf numFmtId="9" fontId="12" fillId="14" borderId="13" applyAlignment="1" pivotButton="0" quotePrefix="0" xfId="0">
      <alignment horizontal="center" vertical="center"/>
    </xf>
    <xf numFmtId="3" fontId="12" fillId="14" borderId="13" applyAlignment="1" pivotButton="0" quotePrefix="0" xfId="0">
      <alignment horizontal="center" vertical="center"/>
    </xf>
    <xf numFmtId="167" fontId="12" fillId="14" borderId="13" applyAlignment="1" pivotButton="0" quotePrefix="0" xfId="0">
      <alignment horizontal="center" vertical="center"/>
    </xf>
    <xf numFmtId="1" fontId="12" fillId="0" borderId="13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Proyección de Ingresos a 7 Años – AquaSense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v>Ingresos Optimista (S/.)</v>
          </tx>
          <spPr>
            <a:ln xmlns:a="http://schemas.openxmlformats.org/drawingml/2006/main" w="38100" cmpd="sng">
              <a:solidFill>
                <a:srgbClr val="4A7EB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Caso1_AquaSense!$A$30:$A$36</f>
            </strRef>
          </cat>
          <val>
            <numRef>
              <f>Caso1_AquaSense!$D$30:$D$36</f>
              <numCache/>
            </numRef>
          </val>
          <smooth val="1"/>
        </ser>
        <ser>
          <idx val="1"/>
          <order val="1"/>
          <tx>
            <v>Ingresos Moderado (S/.)</v>
          </tx>
          <spPr>
            <a:ln xmlns:a="http://schemas.openxmlformats.org/drawingml/2006/main" w="38100" cmpd="sng">
              <a:solidFill>
                <a:srgbClr val="00B0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Caso1_AquaSense!$A$30:$A$36</f>
            </strRef>
          </cat>
          <val>
            <numRef>
              <f>Caso1_AquaSense!$E$30:$E$36</f>
              <numCache/>
            </numRef>
          </val>
          <smooth val="1"/>
        </ser>
        <ser>
          <idx val="2"/>
          <order val="2"/>
          <tx>
            <v>Ingresos Pesimista (S/.)</v>
          </tx>
          <spPr>
            <a:ln xmlns:a="http://schemas.openxmlformats.org/drawingml/2006/main" w="38100" cmpd="sng">
              <a:solidFill>
                <a:srgbClr val="98B85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Caso1_AquaSense!$A$30:$A$36</f>
            </strRef>
          </cat>
          <val>
            <numRef>
              <f>Caso1_AquaSense!$F$30:$F$36</f>
              <numCache/>
            </numRef>
          </val>
          <smooth val="1"/>
        </ser>
        <axId val="155321209"/>
        <axId val="643610687"/>
      </lineChart>
      <catAx>
        <axId val="155321209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Año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643610687"/>
        <lblOffset val="100"/>
      </catAx>
      <valAx>
        <axId val="643610687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Ingresos (S/.)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55321209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Proyección de Ingresos a 5 Años – Ecomove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v>Ingresos Optimista (S/.)</v>
          </tx>
          <spPr>
            <a:ln xmlns:a="http://schemas.openxmlformats.org/drawingml/2006/main" w="38100" cmpd="sng">
              <a:solidFill>
                <a:srgbClr val="4A7EB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Caso2_Ecomove!$A$29:$A$33</f>
            </strRef>
          </cat>
          <val>
            <numRef>
              <f>Caso2_Ecomove!$D$29:$D$33</f>
              <numCache/>
            </numRef>
          </val>
          <smooth val="1"/>
        </ser>
        <ser>
          <idx val="1"/>
          <order val="1"/>
          <tx>
            <v>Ingresos Moderado (S/.)</v>
          </tx>
          <spPr>
            <a:ln xmlns:a="http://schemas.openxmlformats.org/drawingml/2006/main" w="38100" cmpd="sng">
              <a:solidFill>
                <a:srgbClr val="00B0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Caso2_Ecomove!$A$29:$A$33</f>
            </strRef>
          </cat>
          <val>
            <numRef>
              <f>Caso2_Ecomove!$E$29:$E$33</f>
              <numCache/>
            </numRef>
          </val>
          <smooth val="1"/>
        </ser>
        <ser>
          <idx val="2"/>
          <order val="2"/>
          <tx>
            <v>Ingresos Pesimista (S/.)</v>
          </tx>
          <spPr>
            <a:ln xmlns:a="http://schemas.openxmlformats.org/drawingml/2006/main" w="38100" cmpd="sng">
              <a:solidFill>
                <a:srgbClr val="98B85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Caso2_Ecomove!$A$29:$A$33</f>
            </strRef>
          </cat>
          <val>
            <numRef>
              <f>Caso2_Ecomove!$F$29:$F$33</f>
              <numCache/>
            </numRef>
          </val>
          <smooth val="1"/>
        </ser>
        <axId val="1412103596"/>
        <axId val="1270910082"/>
      </lineChart>
      <catAx>
        <axId val="141210359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Año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270910082"/>
        <lblOffset val="100"/>
      </catAx>
      <valAx>
        <axId val="1270910082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Ingresos (S/.)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412103596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Proyección de Ingresos – LegendaryClass (2027-2031)</a:t>
            </a:r>
          </a:p>
        </rich>
      </tx>
    </title>
    <plotArea>
      <lineChart>
        <grouping val="standard"/>
        <ser>
          <idx val="0"/>
          <order val="0"/>
          <tx>
            <strRef>
              <f>'Caso3_LegendaryClass'!D28</f>
            </strRef>
          </tx>
          <spPr>
            <a:ln xmlns:a="http://schemas.openxmlformats.org/drawingml/2006/main" w="25000">
              <a:solidFill>
                <a:srgbClr val="1F7B4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'Caso3_LegendaryClass'!$A$29:$A$33</f>
            </numRef>
          </cat>
          <val>
            <numRef>
              <f>'Caso3_LegendaryClass'!$D$29:$D$33</f>
            </numRef>
          </val>
        </ser>
        <ser>
          <idx val="1"/>
          <order val="1"/>
          <tx>
            <strRef>
              <f>'Caso3_LegendaryClass'!E28</f>
            </strRef>
          </tx>
          <spPr>
            <a:ln xmlns:a="http://schemas.openxmlformats.org/drawingml/2006/main" w="25000">
              <a:solidFill>
                <a:srgbClr val="E08A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'Caso3_LegendaryClass'!$A$29:$A$33</f>
            </numRef>
          </cat>
          <val>
            <numRef>
              <f>'Caso3_LegendaryClass'!$E$29:$E$33</f>
            </numRef>
          </val>
        </ser>
        <ser>
          <idx val="2"/>
          <order val="2"/>
          <tx>
            <strRef>
              <f>'Caso3_LegendaryClass'!F28</f>
            </strRef>
          </tx>
          <spPr>
            <a:ln xmlns:a="http://schemas.openxmlformats.org/drawingml/2006/main" w="25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'Caso3_LegendaryClass'!$A$29:$A$33</f>
            </numRef>
          </cat>
          <val>
            <numRef>
              <f>'Caso3_LegendaryClass'!$F$29:$F$33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Año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Ingresos Anuales (S/.)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37</row>
      <rowOff>0</rowOff>
    </from>
    <ext cx="8877300" cy="52863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34</row>
      <rowOff>0</rowOff>
    </from>
    <ext cx="8858250" cy="52863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36</row>
      <rowOff>0</rowOff>
    </from>
    <ext cx="864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ColWidth="14.43" defaultRowHeight="15" customHeight="1"/>
  <cols>
    <col width="40" customWidth="1" style="35" min="1" max="1"/>
    <col width="19" customWidth="1" style="35" min="2" max="2"/>
    <col width="16" customWidth="1" style="35" min="3" max="3"/>
    <col width="15.14" customWidth="1" style="35" min="4" max="4"/>
    <col width="18" customWidth="1" style="35" min="5" max="5"/>
    <col width="22" customWidth="1" style="35" min="6" max="6"/>
    <col width="8.710000000000001" customWidth="1" style="35" min="7" max="26"/>
  </cols>
  <sheetData>
    <row r="1" ht="24" customHeight="1" s="35">
      <c r="A1" s="36" t="inlineStr">
        <is>
          <t>CASO 1: Estimación de la Demanda – AquaSense (Dispositivos inteligentes de ahorro de agua)</t>
        </is>
      </c>
    </row>
    <row r="3" ht="18" customHeight="1" s="35">
      <c r="A3" s="37" t="inlineStr">
        <is>
          <t>1. SEGMENTACIÓN DEL MERCADO</t>
        </is>
      </c>
    </row>
    <row r="4" ht="30" customHeight="1" s="35">
      <c r="A4" s="5" t="inlineStr">
        <is>
          <t>Nivel de mercado</t>
        </is>
      </c>
      <c r="B4" s="5" t="inlineStr">
        <is>
          <t>Fórmula / Criterio</t>
        </is>
      </c>
      <c r="C4" s="5" t="inlineStr">
        <is>
          <t>Hogares</t>
        </is>
      </c>
      <c r="D4" s="5" t="inlineStr">
        <is>
          <t>% Filtro</t>
        </is>
      </c>
      <c r="E4" s="5" t="inlineStr">
        <is>
          <t>Descripción</t>
        </is>
      </c>
      <c r="F4" s="38" t="n"/>
      <c r="G4" s="38" t="n"/>
      <c r="H4" s="38" t="n"/>
      <c r="I4" s="39" t="n"/>
    </row>
    <row r="5">
      <c r="A5" s="9" t="inlineStr">
        <is>
          <t>Mercado Potencial</t>
        </is>
      </c>
      <c r="B5" s="10" t="inlineStr">
        <is>
          <t>Total hogares Lima</t>
        </is>
      </c>
      <c r="C5" s="11" t="n">
        <v>2000000</v>
      </c>
      <c r="D5" s="12" t="inlineStr">
        <is>
          <t>—</t>
        </is>
      </c>
      <c r="E5" s="10" t="inlineStr">
        <is>
          <t>Total hogares Lima (dato base)</t>
        </is>
      </c>
      <c r="F5" s="38" t="n"/>
      <c r="G5" s="38" t="n"/>
      <c r="H5" s="38" t="n"/>
      <c r="I5" s="39" t="n"/>
    </row>
    <row r="6">
      <c r="A6" s="9" t="inlineStr">
        <is>
          <t>Mercado Disponible</t>
        </is>
      </c>
      <c r="B6" s="10" t="inlineStr">
        <is>
          <t>Potencial × 62%</t>
        </is>
      </c>
      <c r="C6" s="14">
        <f>C5*0.62</f>
        <v/>
      </c>
      <c r="D6" s="15" t="n">
        <v>0.62</v>
      </c>
      <c r="E6" s="10" t="inlineStr">
        <is>
          <t>Cuentan con duchas compatibles</t>
        </is>
      </c>
      <c r="F6" s="38" t="n"/>
      <c r="G6" s="38" t="n"/>
      <c r="H6" s="38" t="n"/>
      <c r="I6" s="39" t="n"/>
    </row>
    <row r="7">
      <c r="A7" s="9" t="inlineStr">
        <is>
          <t>Mercado Efectivo</t>
        </is>
      </c>
      <c r="B7" s="10" t="inlineStr">
        <is>
          <t>Disponible × 28%</t>
        </is>
      </c>
      <c r="C7" s="14">
        <f>C6*0.28</f>
        <v/>
      </c>
      <c r="D7" s="15" t="n">
        <v>0.28</v>
      </c>
      <c r="E7" s="10" t="inlineStr">
        <is>
          <t>Con consumo elevado, buscan solución</t>
        </is>
      </c>
      <c r="F7" s="38" t="n"/>
      <c r="G7" s="38" t="n"/>
      <c r="H7" s="38" t="n"/>
      <c r="I7" s="39" t="n"/>
    </row>
    <row r="8">
      <c r="A8" s="9" t="inlineStr">
        <is>
          <t>Mercado Objetivo</t>
        </is>
      </c>
      <c r="B8" s="10" t="inlineStr">
        <is>
          <t>Efectivo × (210/400)</t>
        </is>
      </c>
      <c r="C8" s="16">
        <f>ROUND(C7*(210/400),0)</f>
        <v/>
      </c>
      <c r="D8" s="10" t="inlineStr">
        <is>
          <t>210/400</t>
        </is>
      </c>
      <c r="E8" s="10" t="inlineStr">
        <is>
          <t>Dispuestos a comprar según encuesta</t>
        </is>
      </c>
      <c r="F8" s="38" t="n"/>
      <c r="G8" s="38" t="n"/>
      <c r="H8" s="38" t="n"/>
      <c r="I8" s="39" t="n"/>
    </row>
    <row r="10" ht="18" customHeight="1" s="35">
      <c r="A10" s="37" t="inlineStr">
        <is>
          <t>2. ANÁLISIS DE LA DEMANDA DE PRODUCTOS</t>
        </is>
      </c>
    </row>
    <row r="11">
      <c r="A11" s="17" t="inlineStr">
        <is>
          <t>Promedio ponderado de unidades a instalar (según encuesta de 400 personas)</t>
        </is>
      </c>
    </row>
    <row r="12" ht="30" customHeight="1" s="35">
      <c r="A12" s="5" t="inlineStr">
        <is>
          <t>Opción de compra</t>
        </is>
      </c>
      <c r="B12" s="5" t="inlineStr">
        <is>
          <t>N° respuestas</t>
        </is>
      </c>
      <c r="C12" s="5" t="inlineStr">
        <is>
          <t>Proporción</t>
        </is>
      </c>
      <c r="D12" s="5" t="inlineStr">
        <is>
          <t>Unid. promedio</t>
        </is>
      </c>
      <c r="E12" s="5" t="inlineStr">
        <is>
          <t>Ponderación</t>
        </is>
      </c>
      <c r="F12" s="38" t="n"/>
      <c r="G12" s="38" t="n"/>
      <c r="H12" s="38" t="n"/>
      <c r="I12" s="39" t="n"/>
    </row>
    <row r="13">
      <c r="A13" s="10" t="inlineStr">
        <is>
          <t>1 unidad</t>
        </is>
      </c>
      <c r="B13" s="18" t="n">
        <v>200</v>
      </c>
      <c r="C13" s="19">
        <f>B13/400</f>
        <v/>
      </c>
      <c r="D13" s="20" t="n">
        <v>1</v>
      </c>
      <c r="E13" s="40">
        <f>C13*D13</f>
        <v/>
      </c>
      <c r="F13" s="38" t="n"/>
      <c r="G13" s="38" t="n"/>
      <c r="H13" s="38" t="n"/>
      <c r="I13" s="39" t="n"/>
    </row>
    <row r="14">
      <c r="A14" s="10" t="inlineStr">
        <is>
          <t>Entre 2 a 3 unidades (prom. 2.5)</t>
        </is>
      </c>
      <c r="B14" s="18" t="n">
        <v>150</v>
      </c>
      <c r="C14" s="19">
        <f>B14/400</f>
        <v/>
      </c>
      <c r="D14" s="20" t="n">
        <v>2.5</v>
      </c>
      <c r="E14" s="40">
        <f>C14*D14</f>
        <v/>
      </c>
      <c r="F14" s="38" t="n"/>
      <c r="G14" s="38" t="n"/>
      <c r="H14" s="38" t="n"/>
      <c r="I14" s="39" t="n"/>
    </row>
    <row r="15">
      <c r="A15" s="10" t="inlineStr">
        <is>
          <t>4 unidades</t>
        </is>
      </c>
      <c r="B15" s="18" t="n">
        <v>50</v>
      </c>
      <c r="C15" s="19">
        <f>B15/400</f>
        <v/>
      </c>
      <c r="D15" s="20" t="n">
        <v>4</v>
      </c>
      <c r="E15" s="40">
        <f>C15*D15</f>
        <v/>
      </c>
      <c r="F15" s="38" t="n"/>
      <c r="G15" s="38" t="n"/>
      <c r="H15" s="38" t="n"/>
      <c r="I15" s="39" t="n"/>
    </row>
    <row r="16">
      <c r="A16" s="9" t="inlineStr">
        <is>
          <t>PROMEDIO PONDERADO TOTAL</t>
        </is>
      </c>
      <c r="B16" s="22">
        <f>SUM(B13:B15)</f>
        <v/>
      </c>
      <c r="C16" s="10" t="n"/>
      <c r="D16" s="10" t="n"/>
      <c r="E16" s="41">
        <f>SUM(E13:E15)</f>
        <v/>
      </c>
      <c r="F16" s="38" t="n"/>
      <c r="G16" s="38" t="n"/>
      <c r="H16" s="38" t="n"/>
      <c r="I16" s="39" t="n"/>
    </row>
    <row r="18">
      <c r="A18" s="42" t="inlineStr">
        <is>
          <t>DEMANDA ANUAL (unidades/año)</t>
        </is>
      </c>
      <c r="B18" s="38" t="n"/>
      <c r="C18" s="38" t="n"/>
      <c r="D18" s="11">
        <f>ROUND(C8*E16,0)</f>
        <v/>
      </c>
      <c r="E18" s="10" t="inlineStr">
        <is>
          <t>Mercado Objetivo × Prom. ponderado</t>
        </is>
      </c>
      <c r="F18" s="38" t="n"/>
      <c r="G18" s="38" t="n"/>
      <c r="H18" s="38" t="n"/>
      <c r="I18" s="39" t="n"/>
    </row>
    <row r="19">
      <c r="A19" s="26" t="inlineStr">
        <is>
          <t>La proporción se calcula sobre el total de encuestados (400). El mercado objetivo se aplica sobre el mercado efectivo.</t>
        </is>
      </c>
    </row>
    <row r="21" ht="18" customHeight="1" s="35">
      <c r="A21" s="37" t="inlineStr">
        <is>
          <t>3. ANÁLISIS DE INGRESOS ANUALES – ESCENARIOS DE VENTAS</t>
        </is>
      </c>
    </row>
    <row r="22" ht="15.75" customHeight="1" s="35">
      <c r="A22" s="27" t="inlineStr">
        <is>
          <t>Precio promedio ponderado (S/.)</t>
        </is>
      </c>
      <c r="B22" s="38" t="n"/>
      <c r="C22" s="28">
        <f>(180*200+160*300+60*400)/400</f>
        <v/>
      </c>
      <c r="D22" s="29" t="inlineStr">
        <is>
          <t>Ponderado sobre 400 encuestados: 180→S/200, 160→S/300, 60→S/400 (punto medio de cada rango)</t>
        </is>
      </c>
      <c r="E22" s="38" t="n"/>
      <c r="F22" s="38" t="n"/>
      <c r="G22" s="38" t="n"/>
      <c r="H22" s="38" t="n"/>
      <c r="I22" s="38" t="n"/>
    </row>
    <row r="23" ht="30" customHeight="1" s="35">
      <c r="A23" s="5" t="inlineStr">
        <is>
          <t>Escenario</t>
        </is>
      </c>
      <c r="B23" s="5" t="inlineStr">
        <is>
          <t>% Captación</t>
        </is>
      </c>
      <c r="C23" s="5" t="inlineStr">
        <is>
          <t>Unidades</t>
        </is>
      </c>
      <c r="D23" s="5" t="inlineStr">
        <is>
          <t>Precio Unit. (S/.)</t>
        </is>
      </c>
      <c r="E23" s="5" t="inlineStr">
        <is>
          <t>Ingresos Anuales (S/.)</t>
        </is>
      </c>
      <c r="F23" s="38" t="n"/>
      <c r="G23" s="38" t="n"/>
      <c r="H23" s="38" t="n"/>
      <c r="I23" s="39" t="n"/>
    </row>
    <row r="24" ht="15.75" customHeight="1" s="35">
      <c r="A24" s="10" t="inlineStr">
        <is>
          <t>Optimista</t>
        </is>
      </c>
      <c r="B24" s="15" t="n">
        <v>0.8</v>
      </c>
      <c r="C24" s="18">
        <f>ROUND($D$18*B24,0)</f>
        <v/>
      </c>
      <c r="D24" s="30">
        <f>$C$22</f>
        <v/>
      </c>
      <c r="E24" s="30">
        <f>C24*D24</f>
        <v/>
      </c>
      <c r="F24" s="38" t="n"/>
      <c r="G24" s="38" t="n"/>
      <c r="H24" s="38" t="n"/>
      <c r="I24" s="39" t="n"/>
    </row>
    <row r="25" ht="15.75" customHeight="1" s="35">
      <c r="A25" s="10" t="inlineStr">
        <is>
          <t>Moderado</t>
        </is>
      </c>
      <c r="B25" s="15" t="n">
        <v>0.5</v>
      </c>
      <c r="C25" s="18">
        <f>ROUND($D$18*B25,0)</f>
        <v/>
      </c>
      <c r="D25" s="30">
        <f>$C$22</f>
        <v/>
      </c>
      <c r="E25" s="43">
        <f>C25*D25</f>
        <v/>
      </c>
      <c r="F25" s="38" t="n"/>
      <c r="G25" s="38" t="n"/>
      <c r="H25" s="38" t="n"/>
      <c r="I25" s="39" t="n"/>
    </row>
    <row r="26" ht="15.75" customHeight="1" s="35">
      <c r="A26" s="10" t="inlineStr">
        <is>
          <t>Pesimista</t>
        </is>
      </c>
      <c r="B26" s="15" t="n">
        <v>0.3</v>
      </c>
      <c r="C26" s="18">
        <f>ROUND($D$18*B26,0)</f>
        <v/>
      </c>
      <c r="D26" s="30">
        <f>$C$22</f>
        <v/>
      </c>
      <c r="E26" s="30">
        <f>C26*D26</f>
        <v/>
      </c>
      <c r="F26" s="38" t="n"/>
      <c r="G26" s="38" t="n"/>
      <c r="H26" s="38" t="n"/>
      <c r="I26" s="39" t="n"/>
    </row>
    <row r="27" ht="15.75" customHeight="1" s="35"/>
    <row r="28" ht="18" customHeight="1" s="35">
      <c r="A28" s="37" t="inlineStr">
        <is>
          <t>4. PROYECCIÓN DE DEMANDA E INGRESOS A 7 AÑOS  (tasa de crecimiento anual: 2.0%)</t>
        </is>
      </c>
    </row>
    <row r="29" ht="30" customHeight="1" s="35">
      <c r="A29" s="5" t="inlineStr">
        <is>
          <t>Año</t>
        </is>
      </c>
      <c r="B29" s="5" t="inlineStr">
        <is>
          <t>Unid. Optimista</t>
        </is>
      </c>
      <c r="C29" s="5" t="inlineStr">
        <is>
          <t>Unid. Moderado</t>
        </is>
      </c>
      <c r="D29" s="5" t="inlineStr">
        <is>
          <t>Ingresos Optimista (S/.)</t>
        </is>
      </c>
      <c r="E29" s="5" t="inlineStr">
        <is>
          <t>Ingresos Moderado (S/.)</t>
        </is>
      </c>
      <c r="F29" s="5" t="inlineStr">
        <is>
          <t>Ingresos Pesimista (S/.)</t>
        </is>
      </c>
      <c r="G29" s="38" t="n"/>
      <c r="H29" s="38" t="n"/>
      <c r="I29" s="39" t="n"/>
    </row>
    <row r="30" ht="15.75" customHeight="1" s="35">
      <c r="A30" s="33" t="n">
        <v>2026</v>
      </c>
      <c r="B30" s="18">
        <f>C24</f>
        <v/>
      </c>
      <c r="C30" s="18">
        <f>C25</f>
        <v/>
      </c>
      <c r="D30" s="30">
        <f>E24</f>
        <v/>
      </c>
      <c r="E30" s="34">
        <f>E25</f>
        <v/>
      </c>
      <c r="F30" s="30">
        <f>E26</f>
        <v/>
      </c>
      <c r="G30" s="38" t="n"/>
      <c r="H30" s="38" t="n"/>
      <c r="I30" s="39" t="n"/>
    </row>
    <row r="31" ht="15.75" customHeight="1" s="35">
      <c r="A31" s="33" t="n">
        <v>2027</v>
      </c>
      <c r="B31" s="18">
        <f>ROUND(B30*1.02,0)</f>
        <v/>
      </c>
      <c r="C31" s="18">
        <f>ROUND(C30*1.02,0)</f>
        <v/>
      </c>
      <c r="D31" s="30">
        <f>D30*1.02</f>
        <v/>
      </c>
      <c r="E31" s="34">
        <f>E30*1.02</f>
        <v/>
      </c>
      <c r="F31" s="30">
        <f>F30*1.02</f>
        <v/>
      </c>
      <c r="G31" s="38" t="n"/>
      <c r="H31" s="38" t="n"/>
      <c r="I31" s="39" t="n"/>
    </row>
    <row r="32" ht="15.75" customHeight="1" s="35">
      <c r="A32" s="33" t="n">
        <v>2028</v>
      </c>
      <c r="B32" s="18">
        <f>ROUND(B31*1.02,0)</f>
        <v/>
      </c>
      <c r="C32" s="18">
        <f>ROUND(C31*1.02,0)</f>
        <v/>
      </c>
      <c r="D32" s="30">
        <f>D31*1.02</f>
        <v/>
      </c>
      <c r="E32" s="34">
        <f>E31*1.02</f>
        <v/>
      </c>
      <c r="F32" s="30">
        <f>F31*1.02</f>
        <v/>
      </c>
      <c r="G32" s="38" t="n"/>
      <c r="H32" s="38" t="n"/>
      <c r="I32" s="39" t="n"/>
    </row>
    <row r="33" ht="15.75" customHeight="1" s="35">
      <c r="A33" s="33" t="n">
        <v>2029</v>
      </c>
      <c r="B33" s="18">
        <f>ROUND(B32*1.02,0)</f>
        <v/>
      </c>
      <c r="C33" s="18">
        <f>ROUND(C32*1.02,0)</f>
        <v/>
      </c>
      <c r="D33" s="30">
        <f>D32*1.02</f>
        <v/>
      </c>
      <c r="E33" s="34">
        <f>E32*1.02</f>
        <v/>
      </c>
      <c r="F33" s="30">
        <f>F32*1.02</f>
        <v/>
      </c>
      <c r="G33" s="38" t="n"/>
      <c r="H33" s="38" t="n"/>
      <c r="I33" s="39" t="n"/>
    </row>
    <row r="34" ht="15.75" customHeight="1" s="35">
      <c r="A34" s="33" t="n">
        <v>2030</v>
      </c>
      <c r="B34" s="18">
        <f>ROUND(B33*1.02,0)</f>
        <v/>
      </c>
      <c r="C34" s="18">
        <f>ROUND(C33*1.02,0)</f>
        <v/>
      </c>
      <c r="D34" s="30">
        <f>D33*1.02</f>
        <v/>
      </c>
      <c r="E34" s="34">
        <f>E33*1.02</f>
        <v/>
      </c>
      <c r="F34" s="30">
        <f>F33*1.02</f>
        <v/>
      </c>
      <c r="G34" s="38" t="n"/>
      <c r="H34" s="38" t="n"/>
      <c r="I34" s="39" t="n"/>
    </row>
    <row r="35" ht="15.75" customHeight="1" s="35">
      <c r="A35" s="33" t="n">
        <v>2031</v>
      </c>
      <c r="B35" s="18">
        <f>ROUND(B34*1.02,0)</f>
        <v/>
      </c>
      <c r="C35" s="18">
        <f>ROUND(C34*1.02,0)</f>
        <v/>
      </c>
      <c r="D35" s="30">
        <f>D34*1.02</f>
        <v/>
      </c>
      <c r="E35" s="34">
        <f>E34*1.02</f>
        <v/>
      </c>
      <c r="F35" s="30">
        <f>F34*1.02</f>
        <v/>
      </c>
      <c r="G35" s="38" t="n"/>
      <c r="H35" s="38" t="n"/>
      <c r="I35" s="39" t="n"/>
    </row>
    <row r="36" ht="15.75" customHeight="1" s="35">
      <c r="A36" s="33" t="n">
        <v>2032</v>
      </c>
      <c r="B36" s="18">
        <f>ROUND(B35*1.02,0)</f>
        <v/>
      </c>
      <c r="C36" s="18">
        <f>ROUND(C35*1.02,0)</f>
        <v/>
      </c>
      <c r="D36" s="30">
        <f>D35*1.02</f>
        <v/>
      </c>
      <c r="E36" s="34">
        <f>E35*1.02</f>
        <v/>
      </c>
      <c r="F36" s="30">
        <f>F35*1.02</f>
        <v/>
      </c>
      <c r="G36" s="38" t="n"/>
      <c r="H36" s="38" t="n"/>
      <c r="I36" s="39" t="n"/>
    </row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33">
    <mergeCell ref="F31:I31"/>
    <mergeCell ref="E12:I12"/>
    <mergeCell ref="E24:I24"/>
    <mergeCell ref="A18:C18"/>
    <mergeCell ref="A3:I3"/>
    <mergeCell ref="E5:I5"/>
    <mergeCell ref="E23:I23"/>
    <mergeCell ref="E8:I8"/>
    <mergeCell ref="E14:I14"/>
    <mergeCell ref="A21:I21"/>
    <mergeCell ref="E4:I4"/>
    <mergeCell ref="E13:I13"/>
    <mergeCell ref="F29:I29"/>
    <mergeCell ref="F34:I34"/>
    <mergeCell ref="E15:I15"/>
    <mergeCell ref="E6:I6"/>
    <mergeCell ref="A19:F19"/>
    <mergeCell ref="A10:I10"/>
    <mergeCell ref="A28:I28"/>
    <mergeCell ref="F30:I30"/>
    <mergeCell ref="F33:I33"/>
    <mergeCell ref="A22:B22"/>
    <mergeCell ref="E26:I26"/>
    <mergeCell ref="F36:I36"/>
    <mergeCell ref="F32:I32"/>
    <mergeCell ref="A11:F11"/>
    <mergeCell ref="E7:I7"/>
    <mergeCell ref="F35:I35"/>
    <mergeCell ref="E16:I16"/>
    <mergeCell ref="D22:I22"/>
    <mergeCell ref="E25:I25"/>
    <mergeCell ref="A1:I1"/>
    <mergeCell ref="E18:I18"/>
  </mergeCells>
  <pageMargins left="0.75" right="0.75" top="1" bottom="1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ColWidth="14.43" defaultRowHeight="15" customHeight="1"/>
  <cols>
    <col width="42" customWidth="1" style="35" min="1" max="1"/>
    <col width="33.43" customWidth="1" style="35" min="2" max="2"/>
    <col width="16" customWidth="1" style="35" min="3" max="3"/>
    <col width="14" customWidth="1" style="35" min="4" max="4"/>
    <col width="20" customWidth="1" style="35" min="5" max="5"/>
    <col width="22" customWidth="1" style="35" min="6" max="6"/>
    <col width="8.710000000000001" customWidth="1" style="35" min="7" max="26"/>
  </cols>
  <sheetData>
    <row r="1" ht="24" customHeight="1" s="35">
      <c r="A1" s="36" t="inlineStr">
        <is>
          <t>CASO 2: Estimación de la Demanda – Ecomove (Servicios de mantenimiento de maquinaria industrial)</t>
        </is>
      </c>
    </row>
    <row r="3" ht="18" customHeight="1" s="35">
      <c r="A3" s="37" t="inlineStr">
        <is>
          <t>5. SEGMENTACIÓN DEL MERCADO</t>
        </is>
      </c>
    </row>
    <row r="4" ht="30" customHeight="1" s="35">
      <c r="A4" s="5" t="inlineStr">
        <is>
          <t>Nivel de mercado</t>
        </is>
      </c>
      <c r="B4" s="5" t="inlineStr">
        <is>
          <t>Fórmula / Criterio</t>
        </is>
      </c>
      <c r="C4" s="5" t="inlineStr">
        <is>
          <t>Empresas</t>
        </is>
      </c>
      <c r="D4" s="5" t="inlineStr">
        <is>
          <t>% Filtro</t>
        </is>
      </c>
      <c r="E4" s="5" t="inlineStr">
        <is>
          <t>Descripción</t>
        </is>
      </c>
      <c r="F4" s="38" t="n"/>
      <c r="G4" s="38" t="n"/>
      <c r="H4" s="38" t="n"/>
      <c r="I4" s="39" t="n"/>
    </row>
    <row r="5">
      <c r="A5" s="9" t="inlineStr">
        <is>
          <t>Mercado Potencial</t>
        </is>
      </c>
      <c r="B5" s="10" t="inlineStr">
        <is>
          <t>Total empresas industriales Lima</t>
        </is>
      </c>
      <c r="C5" s="11" t="n">
        <v>5000</v>
      </c>
      <c r="D5" s="12" t="inlineStr">
        <is>
          <t>—</t>
        </is>
      </c>
      <c r="E5" s="10" t="inlineStr">
        <is>
          <t>Total empresas industriales Lima (dato base)</t>
        </is>
      </c>
      <c r="F5" s="38" t="n"/>
      <c r="G5" s="38" t="n"/>
      <c r="H5" s="38" t="n"/>
      <c r="I5" s="39" t="n"/>
    </row>
    <row r="6">
      <c r="A6" s="9" t="inlineStr">
        <is>
          <t>Mercado Disponible</t>
        </is>
      </c>
      <c r="B6" s="10" t="inlineStr">
        <is>
          <t>Potencial × 66%</t>
        </is>
      </c>
      <c r="C6" s="14">
        <f>C5*0.66</f>
        <v/>
      </c>
      <c r="D6" s="15" t="n">
        <v>0.66</v>
      </c>
      <c r="E6" s="10" t="inlineStr">
        <is>
          <t>Con maquinaria eléctrica del tipo compatible</t>
        </is>
      </c>
      <c r="F6" s="38" t="n"/>
      <c r="G6" s="38" t="n"/>
      <c r="H6" s="38" t="n"/>
      <c r="I6" s="39" t="n"/>
    </row>
    <row r="7">
      <c r="A7" s="9" t="inlineStr">
        <is>
          <t>Mercado Efectivo</t>
        </is>
      </c>
      <c r="B7" s="10" t="inlineStr">
        <is>
          <t>Disponible × 22%</t>
        </is>
      </c>
      <c r="C7" s="14">
        <f>C6*0.22</f>
        <v/>
      </c>
      <c r="D7" s="15" t="n">
        <v>0.22</v>
      </c>
      <c r="E7" s="10" t="inlineStr">
        <is>
          <t>Con problemas de mantenimiento y dispuestas a cambiar</t>
        </is>
      </c>
      <c r="F7" s="38" t="n"/>
      <c r="G7" s="38" t="n"/>
      <c r="H7" s="38" t="n"/>
      <c r="I7" s="39" t="n"/>
    </row>
    <row r="8">
      <c r="A8" s="9" t="inlineStr">
        <is>
          <t>Mercado Objetivo</t>
        </is>
      </c>
      <c r="B8" s="10" t="inlineStr">
        <is>
          <t>Efectivo × (96/291)</t>
        </is>
      </c>
      <c r="C8" s="16">
        <f>ROUND(C7*(96/291),0)</f>
        <v/>
      </c>
      <c r="D8" s="10" t="inlineStr">
        <is>
          <t>96/291</t>
        </is>
      </c>
      <c r="E8" s="10" t="inlineStr">
        <is>
          <t>Tomarían el servicio según encuesta (96 de 291)</t>
        </is>
      </c>
      <c r="F8" s="38" t="n"/>
      <c r="G8" s="38" t="n"/>
      <c r="H8" s="38" t="n"/>
      <c r="I8" s="39" t="n"/>
    </row>
    <row r="10" ht="18" customHeight="1" s="35">
      <c r="A10" s="37" t="inlineStr">
        <is>
          <t>6. ANÁLISIS DE LA DEMANDA DE SERVICIOS DE MANTENIMIENTO</t>
        </is>
      </c>
    </row>
    <row r="11">
      <c r="A11" s="17" t="inlineStr">
        <is>
          <t>Frecuencia anual de mantenimientos por empresa (encuesta a 291 personas)</t>
        </is>
      </c>
    </row>
    <row r="12" ht="30" customHeight="1" s="35">
      <c r="A12" s="5" t="inlineStr">
        <is>
          <t>Frecuencia anual</t>
        </is>
      </c>
      <c r="B12" s="5" t="inlineStr">
        <is>
          <t>N° respuestas</t>
        </is>
      </c>
      <c r="C12" s="5" t="inlineStr">
        <is>
          <t>Proporción</t>
        </is>
      </c>
      <c r="D12" s="5" t="inlineStr">
        <is>
          <t>Mant. promedio</t>
        </is>
      </c>
      <c r="E12" s="5" t="inlineStr">
        <is>
          <t>Ponderación</t>
        </is>
      </c>
      <c r="F12" s="38" t="n"/>
      <c r="G12" s="38" t="n"/>
      <c r="H12" s="38" t="n"/>
      <c r="I12" s="39" t="n"/>
    </row>
    <row r="13">
      <c r="A13" s="10" t="inlineStr">
        <is>
          <t>Entre 1 a 3 mantenimientos/año (prom. 2)</t>
        </is>
      </c>
      <c r="B13" s="18" t="n">
        <v>90</v>
      </c>
      <c r="C13" s="19">
        <f>B13/291</f>
        <v/>
      </c>
      <c r="D13" s="20" t="n">
        <v>2</v>
      </c>
      <c r="E13" s="40">
        <f>C13*D13</f>
        <v/>
      </c>
      <c r="F13" s="38" t="n"/>
      <c r="G13" s="38" t="n"/>
      <c r="H13" s="38" t="n"/>
      <c r="I13" s="39" t="n"/>
    </row>
    <row r="14">
      <c r="A14" s="10" t="inlineStr">
        <is>
          <t>Entre 4 a 6 mantenimientos/año (prom. 5)</t>
        </is>
      </c>
      <c r="B14" s="18" t="n">
        <v>130</v>
      </c>
      <c r="C14" s="19">
        <f>B14/291</f>
        <v/>
      </c>
      <c r="D14" s="20" t="n">
        <v>5</v>
      </c>
      <c r="E14" s="40">
        <f>C14*D14</f>
        <v/>
      </c>
      <c r="F14" s="38" t="n"/>
      <c r="G14" s="38" t="n"/>
      <c r="H14" s="38" t="n"/>
      <c r="I14" s="39" t="n"/>
    </row>
    <row r="15">
      <c r="A15" s="10" t="inlineStr">
        <is>
          <t>Entre 7 a 10 mantenimientos/año (prom. 8.5)</t>
        </is>
      </c>
      <c r="B15" s="18" t="n">
        <v>71</v>
      </c>
      <c r="C15" s="19">
        <f>B15/291</f>
        <v/>
      </c>
      <c r="D15" s="20" t="n">
        <v>8.5</v>
      </c>
      <c r="E15" s="40">
        <f>C15*D15</f>
        <v/>
      </c>
      <c r="F15" s="38" t="n"/>
      <c r="G15" s="38" t="n"/>
      <c r="H15" s="38" t="n"/>
      <c r="I15" s="39" t="n"/>
    </row>
    <row r="16">
      <c r="A16" s="9" t="inlineStr">
        <is>
          <t>PROMEDIO PONDERADO TOTAL</t>
        </is>
      </c>
      <c r="B16" s="22">
        <f>SUM(B13:B15)</f>
        <v/>
      </c>
      <c r="E16" s="41">
        <f>SUM(E13:E15)</f>
        <v/>
      </c>
      <c r="F16" s="38" t="n"/>
      <c r="G16" s="38" t="n"/>
      <c r="H16" s="38" t="n"/>
      <c r="I16" s="39" t="n"/>
    </row>
    <row r="18">
      <c r="A18" s="42" t="inlineStr">
        <is>
          <t>DEMANDA ANUAL (servicios de mantenimiento/año)</t>
        </is>
      </c>
      <c r="B18" s="38" t="n"/>
      <c r="C18" s="38" t="n"/>
      <c r="D18" s="11">
        <f>ROUND(C8*E16,0)</f>
        <v/>
      </c>
      <c r="E18" s="10" t="inlineStr">
        <is>
          <t>Mercado Objetivo × Prom. ponderado</t>
        </is>
      </c>
      <c r="F18" s="38" t="n"/>
      <c r="G18" s="38" t="n"/>
      <c r="H18" s="38" t="n"/>
      <c r="I18" s="39" t="n"/>
    </row>
    <row r="20" ht="18" customHeight="1" s="35">
      <c r="A20" s="37" t="inlineStr">
        <is>
          <t>7. ANÁLISIS DE INGRESOS ANUALES – ESCENARIOS DE VENTAS</t>
        </is>
      </c>
    </row>
    <row r="21" ht="15.75" customHeight="1" s="35">
      <c r="A21" s="27" t="inlineStr">
        <is>
          <t>Precio promedio ponderado (S/.)</t>
        </is>
      </c>
      <c r="B21" s="38" t="n"/>
      <c r="C21" s="28">
        <f>(152*350+101*750+38*1250)/291</f>
        <v/>
      </c>
      <c r="D21" s="29" t="inlineStr">
        <is>
          <t>Ponderado sobre 291 encuestados: 152→S/350, 101→S/750, 38→S/1250 (punto medio de cada rango)</t>
        </is>
      </c>
      <c r="E21" s="38" t="n"/>
      <c r="F21" s="38" t="n"/>
      <c r="G21" s="38" t="n"/>
      <c r="H21" s="38" t="n"/>
      <c r="I21" s="38" t="n"/>
    </row>
    <row r="22" ht="30" customHeight="1" s="35">
      <c r="A22" s="5" t="inlineStr">
        <is>
          <t>Escenario</t>
        </is>
      </c>
      <c r="B22" s="5" t="inlineStr">
        <is>
          <t>% Captación</t>
        </is>
      </c>
      <c r="C22" s="5" t="inlineStr">
        <is>
          <t>Servicios</t>
        </is>
      </c>
      <c r="D22" s="5" t="inlineStr">
        <is>
          <t>Precio Unit. (S/.)</t>
        </is>
      </c>
      <c r="E22" s="5" t="inlineStr">
        <is>
          <t>Ingresos Anuales (S/.)</t>
        </is>
      </c>
      <c r="F22" s="38" t="n"/>
      <c r="G22" s="38" t="n"/>
      <c r="H22" s="38" t="n"/>
      <c r="I22" s="39" t="n"/>
    </row>
    <row r="23" ht="15.75" customHeight="1" s="35">
      <c r="A23" s="10" t="inlineStr">
        <is>
          <t>Optimista</t>
        </is>
      </c>
      <c r="B23" s="15" t="n">
        <v>0.8</v>
      </c>
      <c r="C23" s="18">
        <f>ROUND($D$18*B23,0)</f>
        <v/>
      </c>
      <c r="D23" s="30">
        <f>$C$21</f>
        <v/>
      </c>
      <c r="E23" s="30">
        <f>C23*D23</f>
        <v/>
      </c>
      <c r="F23" s="38" t="n"/>
      <c r="G23" s="38" t="n"/>
      <c r="H23" s="38" t="n"/>
      <c r="I23" s="39" t="n"/>
    </row>
    <row r="24" ht="15.75" customHeight="1" s="35">
      <c r="A24" s="10" t="inlineStr">
        <is>
          <t>Moderado</t>
        </is>
      </c>
      <c r="B24" s="15" t="n">
        <v>0.5</v>
      </c>
      <c r="C24" s="18">
        <f>ROUND($D$18*B24,0)</f>
        <v/>
      </c>
      <c r="D24" s="30">
        <f>$C$21</f>
        <v/>
      </c>
      <c r="E24" s="43">
        <f>C24*D24</f>
        <v/>
      </c>
      <c r="F24" s="38" t="n"/>
      <c r="G24" s="38" t="n"/>
      <c r="H24" s="38" t="n"/>
      <c r="I24" s="39" t="n"/>
    </row>
    <row r="25" ht="15.75" customHeight="1" s="35">
      <c r="A25" s="10" t="inlineStr">
        <is>
          <t>Pesimista</t>
        </is>
      </c>
      <c r="B25" s="15" t="n">
        <v>0.3</v>
      </c>
      <c r="C25" s="18">
        <f>ROUND($D$18*B25,0)</f>
        <v/>
      </c>
      <c r="D25" s="30">
        <f>$C$21</f>
        <v/>
      </c>
      <c r="E25" s="30">
        <f>C25*D25</f>
        <v/>
      </c>
      <c r="F25" s="38" t="n"/>
      <c r="G25" s="38" t="n"/>
      <c r="H25" s="38" t="n"/>
      <c r="I25" s="39" t="n"/>
    </row>
    <row r="26" ht="15.75" customHeight="1" s="35"/>
    <row r="27" ht="18" customHeight="1" s="35">
      <c r="A27" s="37" t="inlineStr">
        <is>
          <t>8. PROYECCIÓN DE DEMANDA E INGRESOS A 5 AÑOS  (tasa de crecimiento anual: 5.0%)</t>
        </is>
      </c>
    </row>
    <row r="28" ht="30" customHeight="1" s="35">
      <c r="A28" s="5" t="inlineStr">
        <is>
          <t>Año</t>
        </is>
      </c>
      <c r="B28" s="5" t="inlineStr">
        <is>
          <t>Serv. Optimista</t>
        </is>
      </c>
      <c r="C28" s="5" t="inlineStr">
        <is>
          <t>Serv. Moderado</t>
        </is>
      </c>
      <c r="D28" s="5" t="inlineStr">
        <is>
          <t>Ingresos Optimista (S/.)</t>
        </is>
      </c>
      <c r="E28" s="5" t="inlineStr">
        <is>
          <t>Ingresos Moderado (S/.)</t>
        </is>
      </c>
      <c r="F28" s="5" t="inlineStr">
        <is>
          <t>Ingresos Pesimista (S/.)</t>
        </is>
      </c>
      <c r="G28" s="38" t="n"/>
      <c r="H28" s="38" t="n"/>
      <c r="I28" s="39" t="n"/>
    </row>
    <row r="29" ht="15.75" customHeight="1" s="35">
      <c r="A29" s="33" t="n">
        <v>2026</v>
      </c>
      <c r="B29" s="18">
        <f>C23</f>
        <v/>
      </c>
      <c r="C29" s="18">
        <f>C24</f>
        <v/>
      </c>
      <c r="D29" s="30">
        <f>E23</f>
        <v/>
      </c>
      <c r="E29" s="34">
        <f>E24</f>
        <v/>
      </c>
      <c r="F29" s="30">
        <f>E25</f>
        <v/>
      </c>
      <c r="G29" s="38" t="n"/>
      <c r="H29" s="38" t="n"/>
      <c r="I29" s="39" t="n"/>
    </row>
    <row r="30" ht="15.75" customHeight="1" s="35">
      <c r="A30" s="33" t="n">
        <v>2027</v>
      </c>
      <c r="B30" s="18">
        <f>ROUND(B29*1.05,0)</f>
        <v/>
      </c>
      <c r="C30" s="18">
        <f>ROUND(C29*1.05,0)</f>
        <v/>
      </c>
      <c r="D30" s="30">
        <f>D29*1.05</f>
        <v/>
      </c>
      <c r="E30" s="34">
        <f>E29*1.05</f>
        <v/>
      </c>
      <c r="F30" s="30">
        <f>F29*1.05</f>
        <v/>
      </c>
      <c r="G30" s="38" t="n"/>
      <c r="H30" s="38" t="n"/>
      <c r="I30" s="39" t="n"/>
    </row>
    <row r="31" ht="15.75" customHeight="1" s="35">
      <c r="A31" s="33" t="n">
        <v>2028</v>
      </c>
      <c r="B31" s="18">
        <f>ROUND(B30*1.05,0)</f>
        <v/>
      </c>
      <c r="C31" s="18">
        <f>ROUND(C30*1.05,0)</f>
        <v/>
      </c>
      <c r="D31" s="30">
        <f>D30*1.05</f>
        <v/>
      </c>
      <c r="E31" s="34">
        <f>E30*1.05</f>
        <v/>
      </c>
      <c r="F31" s="30">
        <f>F30*1.05</f>
        <v/>
      </c>
      <c r="G31" s="38" t="n"/>
      <c r="H31" s="38" t="n"/>
      <c r="I31" s="39" t="n"/>
    </row>
    <row r="32" ht="15.75" customHeight="1" s="35">
      <c r="A32" s="33" t="n">
        <v>2029</v>
      </c>
      <c r="B32" s="18">
        <f>ROUND(B31*1.05,0)</f>
        <v/>
      </c>
      <c r="C32" s="18">
        <f>ROUND(C31*1.05,0)</f>
        <v/>
      </c>
      <c r="D32" s="30">
        <f>D31*1.05</f>
        <v/>
      </c>
      <c r="E32" s="34">
        <f>E31*1.05</f>
        <v/>
      </c>
      <c r="F32" s="30">
        <f>F31*1.05</f>
        <v/>
      </c>
      <c r="G32" s="38" t="n"/>
      <c r="H32" s="38" t="n"/>
      <c r="I32" s="39" t="n"/>
    </row>
    <row r="33" ht="15.75" customHeight="1" s="35">
      <c r="A33" s="33" t="n">
        <v>2030</v>
      </c>
      <c r="B33" s="18">
        <f>ROUND(B32*1.05,0)</f>
        <v/>
      </c>
      <c r="C33" s="18">
        <f>ROUND(C32*1.05,0)</f>
        <v/>
      </c>
      <c r="D33" s="30">
        <f>D32*1.05</f>
        <v/>
      </c>
      <c r="E33" s="34">
        <f>E32*1.05</f>
        <v/>
      </c>
      <c r="F33" s="30">
        <f>F32*1.05</f>
        <v/>
      </c>
      <c r="G33" s="38" t="n"/>
      <c r="H33" s="38" t="n"/>
      <c r="I33" s="39" t="n"/>
    </row>
    <row r="34" ht="15.75" customHeight="1" s="35"/>
    <row r="35" ht="15.75" customHeight="1" s="35"/>
    <row r="36" ht="15.75" customHeight="1" s="35"/>
    <row r="37" ht="15.75" customHeight="1" s="35"/>
    <row r="38" ht="15.75" customHeight="1" s="35"/>
    <row r="39" ht="15.75" customHeight="1" s="35"/>
    <row r="40" ht="15.75" customHeight="1" s="35"/>
    <row r="41" ht="15.75" customHeight="1" s="35"/>
    <row r="42" ht="15.75" customHeight="1" s="35"/>
    <row r="43" ht="15.75" customHeight="1" s="35"/>
    <row r="44" ht="15.75" customHeight="1" s="35"/>
    <row r="45" ht="15.75" customHeight="1" s="35"/>
    <row r="46" ht="15.75" customHeight="1" s="35"/>
    <row r="47" ht="15.75" customHeight="1" s="35"/>
    <row r="48" ht="15.75" customHeight="1" s="35"/>
    <row r="49" ht="15.75" customHeight="1" s="35"/>
    <row r="50" ht="15.75" customHeight="1" s="35"/>
    <row r="51" ht="15.75" customHeight="1" s="35"/>
    <row r="52" ht="15.75" customHeight="1" s="35"/>
    <row r="53" ht="15.75" customHeight="1" s="35"/>
    <row r="54" ht="15.75" customHeight="1" s="35"/>
    <row r="55" ht="15.75" customHeight="1" s="35"/>
    <row r="56" ht="15.75" customHeight="1" s="35"/>
    <row r="57" ht="15.75" customHeight="1" s="35"/>
    <row r="58" ht="15.75" customHeight="1" s="35"/>
    <row r="59" ht="15.75" customHeight="1" s="35"/>
    <row r="60" ht="15.75" customHeight="1" s="35"/>
    <row r="61" ht="15.75" customHeight="1" s="35"/>
    <row r="62" ht="15.75" customHeight="1" s="35"/>
    <row r="63" ht="15.75" customHeight="1" s="35"/>
    <row r="64" ht="15.75" customHeight="1" s="35"/>
    <row r="65" ht="15.75" customHeight="1" s="35"/>
    <row r="66" ht="15.75" customHeight="1" s="35"/>
    <row r="67" ht="15.75" customHeight="1" s="35"/>
    <row r="68" ht="15.75" customHeight="1" s="35"/>
    <row r="69" ht="15.75" customHeight="1" s="35"/>
    <row r="70" ht="15.75" customHeight="1" s="35"/>
    <row r="71" ht="15.75" customHeight="1" s="35"/>
    <row r="72" ht="15.75" customHeight="1" s="35"/>
    <row r="73" ht="15.75" customHeight="1" s="35"/>
    <row r="74" ht="15.75" customHeight="1" s="35"/>
    <row r="75" ht="15.75" customHeight="1" s="35"/>
    <row r="76" ht="15.75" customHeight="1" s="35"/>
    <row r="77" ht="15.75" customHeight="1" s="35"/>
    <row r="78" ht="15.75" customHeight="1" s="35"/>
    <row r="79" ht="15.75" customHeight="1" s="35"/>
    <row r="80" ht="15.75" customHeight="1" s="35"/>
    <row r="81" ht="15.75" customHeight="1" s="35"/>
    <row r="82" ht="15.75" customHeight="1" s="35"/>
    <row r="83" ht="15.75" customHeight="1" s="35"/>
    <row r="84" ht="15.75" customHeight="1" s="35"/>
    <row r="85" ht="15.75" customHeight="1" s="35"/>
    <row r="86" ht="15.75" customHeight="1" s="35"/>
    <row r="87" ht="15.75" customHeight="1" s="35"/>
    <row r="88" ht="15.75" customHeight="1" s="35"/>
    <row r="89" ht="15.75" customHeight="1" s="35"/>
    <row r="90" ht="15.75" customHeight="1" s="35"/>
    <row r="91" ht="15.75" customHeight="1" s="35"/>
    <row r="92" ht="15.75" customHeight="1" s="35"/>
    <row r="93" ht="15.75" customHeight="1" s="35"/>
    <row r="94" ht="15.75" customHeight="1" s="35"/>
    <row r="95" ht="15.75" customHeight="1" s="35"/>
    <row r="96" ht="15.75" customHeight="1" s="35"/>
    <row r="97" ht="15.75" customHeight="1" s="35"/>
    <row r="98" ht="15.75" customHeight="1" s="35"/>
    <row r="99" ht="15.75" customHeight="1" s="35"/>
    <row r="100" ht="15.75" customHeight="1" s="35"/>
    <row r="101" ht="15.75" customHeight="1" s="35"/>
    <row r="102" ht="15.75" customHeight="1" s="35"/>
    <row r="103" ht="15.75" customHeight="1" s="35"/>
    <row r="104" ht="15.75" customHeight="1" s="35"/>
    <row r="105" ht="15.75" customHeight="1" s="35"/>
    <row r="106" ht="15.75" customHeight="1" s="35"/>
    <row r="107" ht="15.75" customHeight="1" s="35"/>
    <row r="108" ht="15.75" customHeight="1" s="35"/>
    <row r="109" ht="15.75" customHeight="1" s="35"/>
    <row r="110" ht="15.75" customHeight="1" s="35"/>
    <row r="111" ht="15.75" customHeight="1" s="35"/>
    <row r="112" ht="15.75" customHeight="1" s="35"/>
    <row r="113" ht="15.75" customHeight="1" s="35"/>
    <row r="114" ht="15.75" customHeight="1" s="35"/>
    <row r="115" ht="15.75" customHeight="1" s="35"/>
    <row r="116" ht="15.75" customHeight="1" s="35"/>
    <row r="117" ht="15.75" customHeight="1" s="35"/>
    <row r="118" ht="15.75" customHeight="1" s="35"/>
    <row r="119" ht="15.75" customHeight="1" s="35"/>
    <row r="120" ht="15.75" customHeight="1" s="35"/>
    <row r="121" ht="15.75" customHeight="1" s="35"/>
    <row r="122" ht="15.75" customHeight="1" s="35"/>
    <row r="123" ht="15.75" customHeight="1" s="35"/>
    <row r="124" ht="15.75" customHeight="1" s="35"/>
    <row r="125" ht="15.75" customHeight="1" s="35"/>
    <row r="126" ht="15.75" customHeight="1" s="35"/>
    <row r="127" ht="15.75" customHeight="1" s="35"/>
    <row r="128" ht="15.75" customHeight="1" s="35"/>
    <row r="129" ht="15.75" customHeight="1" s="35"/>
    <row r="130" ht="15.75" customHeight="1" s="35"/>
    <row r="131" ht="15.75" customHeight="1" s="35"/>
    <row r="132" ht="15.75" customHeight="1" s="35"/>
    <row r="133" ht="15.75" customHeight="1" s="35"/>
    <row r="134" ht="15.75" customHeight="1" s="35"/>
    <row r="135" ht="15.75" customHeight="1" s="35"/>
    <row r="136" ht="15.75" customHeight="1" s="35"/>
    <row r="137" ht="15.75" customHeight="1" s="35"/>
    <row r="138" ht="15.75" customHeight="1" s="35"/>
    <row r="139" ht="15.75" customHeight="1" s="35"/>
    <row r="140" ht="15.75" customHeight="1" s="35"/>
    <row r="141" ht="15.75" customHeight="1" s="35"/>
    <row r="142" ht="15.75" customHeight="1" s="35"/>
    <row r="143" ht="15.75" customHeight="1" s="35"/>
    <row r="144" ht="15.75" customHeight="1" s="35"/>
    <row r="145" ht="15.75" customHeight="1" s="35"/>
    <row r="146" ht="15.75" customHeight="1" s="35"/>
    <row r="147" ht="15.75" customHeight="1" s="35"/>
    <row r="148" ht="15.75" customHeight="1" s="35"/>
    <row r="149" ht="15.75" customHeight="1" s="35"/>
    <row r="150" ht="15.75" customHeight="1" s="35"/>
    <row r="151" ht="15.75" customHeight="1" s="35"/>
    <row r="152" ht="15.75" customHeight="1" s="35"/>
    <row r="153" ht="15.75" customHeight="1" s="35"/>
    <row r="154" ht="15.75" customHeight="1" s="35"/>
    <row r="155" ht="15.75" customHeight="1" s="35"/>
    <row r="156" ht="15.75" customHeight="1" s="35"/>
    <row r="157" ht="15.75" customHeight="1" s="35"/>
    <row r="158" ht="15.75" customHeight="1" s="35"/>
    <row r="159" ht="15.75" customHeight="1" s="35"/>
    <row r="160" ht="15.75" customHeight="1" s="35"/>
    <row r="161" ht="15.75" customHeight="1" s="35"/>
    <row r="162" ht="15.75" customHeight="1" s="35"/>
    <row r="163" ht="15.75" customHeight="1" s="35"/>
    <row r="164" ht="15.75" customHeight="1" s="35"/>
    <row r="165" ht="15.75" customHeight="1" s="35"/>
    <row r="166" ht="15.75" customHeight="1" s="35"/>
    <row r="167" ht="15.75" customHeight="1" s="35"/>
    <row r="168" ht="15.75" customHeight="1" s="35"/>
    <row r="169" ht="15.75" customHeight="1" s="35"/>
    <row r="170" ht="15.75" customHeight="1" s="35"/>
    <row r="171" ht="15.75" customHeight="1" s="35"/>
    <row r="172" ht="15.75" customHeight="1" s="35"/>
    <row r="173" ht="15.75" customHeight="1" s="35"/>
    <row r="174" ht="15.75" customHeight="1" s="35"/>
    <row r="175" ht="15.75" customHeight="1" s="35"/>
    <row r="176" ht="15.75" customHeight="1" s="35"/>
    <row r="177" ht="15.75" customHeight="1" s="35"/>
    <row r="178" ht="15.75" customHeight="1" s="35"/>
    <row r="179" ht="15.75" customHeight="1" s="35"/>
    <row r="180" ht="15.75" customHeight="1" s="35"/>
    <row r="181" ht="15.75" customHeight="1" s="35"/>
    <row r="182" ht="15.75" customHeight="1" s="35"/>
    <row r="183" ht="15.75" customHeight="1" s="35"/>
    <row r="184" ht="15.75" customHeight="1" s="35"/>
    <row r="185" ht="15.75" customHeight="1" s="35"/>
    <row r="186" ht="15.75" customHeight="1" s="35"/>
    <row r="187" ht="15.75" customHeight="1" s="35"/>
    <row r="188" ht="15.75" customHeight="1" s="35"/>
    <row r="189" ht="15.75" customHeight="1" s="35"/>
    <row r="190" ht="15.75" customHeight="1" s="35"/>
    <row r="191" ht="15.75" customHeight="1" s="35"/>
    <row r="192" ht="15.75" customHeight="1" s="35"/>
    <row r="193" ht="15.75" customHeight="1" s="35"/>
    <row r="194" ht="15.75" customHeight="1" s="35"/>
    <row r="195" ht="15.75" customHeight="1" s="35"/>
    <row r="196" ht="15.75" customHeight="1" s="35"/>
    <row r="197" ht="15.75" customHeight="1" s="35"/>
    <row r="198" ht="15.75" customHeight="1" s="35"/>
    <row r="199" ht="15.75" customHeight="1" s="35"/>
    <row r="200" ht="15.75" customHeight="1" s="35"/>
    <row r="201" ht="15.75" customHeight="1" s="35"/>
    <row r="202" ht="15.75" customHeight="1" s="35"/>
    <row r="203" ht="15.75" customHeight="1" s="35"/>
    <row r="204" ht="15.75" customHeight="1" s="35"/>
    <row r="205" ht="15.75" customHeight="1" s="35"/>
    <row r="206" ht="15.75" customHeight="1" s="35"/>
    <row r="207" ht="15.75" customHeight="1" s="35"/>
    <row r="208" ht="15.75" customHeight="1" s="35"/>
    <row r="209" ht="15.75" customHeight="1" s="35"/>
    <row r="210" ht="15.75" customHeight="1" s="35"/>
    <row r="211" ht="15.75" customHeight="1" s="35"/>
    <row r="212" ht="15.75" customHeight="1" s="35"/>
    <row r="213" ht="15.75" customHeight="1" s="35"/>
    <row r="214" ht="15.75" customHeight="1" s="35"/>
    <row r="215" ht="15.75" customHeight="1" s="35"/>
    <row r="216" ht="15.75" customHeight="1" s="35"/>
    <row r="217" ht="15.75" customHeight="1" s="35"/>
    <row r="218" ht="15.75" customHeight="1" s="35"/>
    <row r="219" ht="15.75" customHeight="1" s="35"/>
    <row r="220" ht="15.75" customHeight="1" s="35"/>
    <row r="221" ht="15.75" customHeight="1" s="35"/>
    <row r="222" ht="15.75" customHeight="1" s="35"/>
    <row r="223" ht="15.75" customHeight="1" s="35"/>
    <row r="224" ht="15.75" customHeight="1" s="35"/>
    <row r="225" ht="15.75" customHeight="1" s="35"/>
    <row r="226" ht="15.75" customHeight="1" s="35"/>
    <row r="227" ht="15.75" customHeight="1" s="35"/>
    <row r="228" ht="15.75" customHeight="1" s="35"/>
    <row r="229" ht="15.75" customHeight="1" s="35"/>
    <row r="230" ht="15.75" customHeight="1" s="35"/>
    <row r="231" ht="15.75" customHeight="1" s="35"/>
    <row r="232" ht="15.75" customHeight="1" s="35"/>
    <row r="233" ht="15.75" customHeight="1" s="35"/>
    <row r="234" ht="15.75" customHeight="1" s="35"/>
    <row r="235" ht="15.75" customHeight="1" s="35"/>
    <row r="236" ht="15.75" customHeight="1" s="35"/>
    <row r="237" ht="15.75" customHeight="1" s="35"/>
    <row r="238" ht="15.75" customHeight="1" s="35"/>
    <row r="239" ht="15.75" customHeight="1" s="35"/>
    <row r="240" ht="15.75" customHeight="1" s="35"/>
    <row r="241" ht="15.75" customHeight="1" s="35"/>
    <row r="242" ht="15.75" customHeight="1" s="35"/>
    <row r="243" ht="15.75" customHeight="1" s="35"/>
    <row r="244" ht="15.75" customHeight="1" s="35"/>
    <row r="245" ht="15.75" customHeight="1" s="35"/>
    <row r="246" ht="15.75" customHeight="1" s="35"/>
    <row r="247" ht="15.75" customHeight="1" s="35"/>
    <row r="248" ht="15.75" customHeight="1" s="35"/>
    <row r="249" ht="15.75" customHeight="1" s="35"/>
    <row r="250" ht="15.75" customHeight="1" s="35"/>
    <row r="251" ht="15.75" customHeight="1" s="35"/>
    <row r="252" ht="15.75" customHeight="1" s="35"/>
    <row r="253" ht="15.75" customHeight="1" s="35"/>
    <row r="254" ht="15.75" customHeight="1" s="35"/>
    <row r="255" ht="15.75" customHeight="1" s="35"/>
    <row r="256" ht="15.75" customHeight="1" s="35"/>
    <row r="257" ht="15.75" customHeight="1" s="35"/>
    <row r="258" ht="15.75" customHeight="1" s="35"/>
    <row r="259" ht="15.75" customHeight="1" s="35"/>
    <row r="260" ht="15.75" customHeight="1" s="35"/>
    <row r="261" ht="15.75" customHeight="1" s="35"/>
    <row r="262" ht="15.75" customHeight="1" s="35"/>
    <row r="263" ht="15.75" customHeight="1" s="35"/>
    <row r="264" ht="15.75" customHeight="1" s="35"/>
    <row r="265" ht="15.75" customHeight="1" s="35"/>
    <row r="266" ht="15.75" customHeight="1" s="35"/>
    <row r="267" ht="15.75" customHeight="1" s="35"/>
    <row r="268" ht="15.75" customHeight="1" s="35"/>
    <row r="269" ht="15.75" customHeight="1" s="35"/>
    <row r="270" ht="15.75" customHeight="1" s="35"/>
    <row r="271" ht="15.75" customHeight="1" s="35"/>
    <row r="272" ht="15.75" customHeight="1" s="35"/>
    <row r="273" ht="15.75" customHeight="1" s="35"/>
    <row r="274" ht="15.75" customHeight="1" s="35"/>
    <row r="275" ht="15.75" customHeight="1" s="35"/>
    <row r="276" ht="15.75" customHeight="1" s="35"/>
    <row r="277" ht="15.75" customHeight="1" s="35"/>
    <row r="278" ht="15.75" customHeight="1" s="35"/>
    <row r="279" ht="15.75" customHeight="1" s="35"/>
    <row r="280" ht="15.75" customHeight="1" s="35"/>
    <row r="281" ht="15.75" customHeight="1" s="35"/>
    <row r="282" ht="15.75" customHeight="1" s="35"/>
    <row r="283" ht="15.75" customHeight="1" s="35"/>
    <row r="284" ht="15.75" customHeight="1" s="35"/>
    <row r="285" ht="15.75" customHeight="1" s="35"/>
    <row r="286" ht="15.75" customHeight="1" s="35"/>
    <row r="287" ht="15.75" customHeight="1" s="35"/>
    <row r="288" ht="15.75" customHeight="1" s="35"/>
    <row r="289" ht="15.75" customHeight="1" s="35"/>
    <row r="290" ht="15.75" customHeight="1" s="35"/>
    <row r="291" ht="15.75" customHeight="1" s="35"/>
    <row r="292" ht="15.75" customHeight="1" s="35"/>
    <row r="293" ht="15.75" customHeight="1" s="35"/>
    <row r="294" ht="15.75" customHeight="1" s="35"/>
    <row r="295" ht="15.75" customHeight="1" s="35"/>
    <row r="296" ht="15.75" customHeight="1" s="35"/>
    <row r="297" ht="15.75" customHeight="1" s="35"/>
    <row r="298" ht="15.75" customHeight="1" s="35"/>
    <row r="299" ht="15.75" customHeight="1" s="35"/>
    <row r="300" ht="15.75" customHeight="1" s="35"/>
    <row r="301" ht="15.75" customHeight="1" s="35"/>
    <row r="302" ht="15.75" customHeight="1" s="35"/>
    <row r="303" ht="15.75" customHeight="1" s="35"/>
    <row r="304" ht="15.75" customHeight="1" s="35"/>
    <row r="305" ht="15.75" customHeight="1" s="35"/>
    <row r="306" ht="15.75" customHeight="1" s="35"/>
    <row r="307" ht="15.75" customHeight="1" s="35"/>
    <row r="308" ht="15.75" customHeight="1" s="35"/>
    <row r="309" ht="15.75" customHeight="1" s="35"/>
    <row r="310" ht="15.75" customHeight="1" s="35"/>
    <row r="311" ht="15.75" customHeight="1" s="35"/>
    <row r="312" ht="15.75" customHeight="1" s="35"/>
    <row r="313" ht="15.75" customHeight="1" s="35"/>
    <row r="314" ht="15.75" customHeight="1" s="35"/>
    <row r="315" ht="15.75" customHeight="1" s="35"/>
    <row r="316" ht="15.75" customHeight="1" s="35"/>
    <row r="317" ht="15.75" customHeight="1" s="35"/>
    <row r="318" ht="15.75" customHeight="1" s="35"/>
    <row r="319" ht="15.75" customHeight="1" s="35"/>
    <row r="320" ht="15.75" customHeight="1" s="35"/>
    <row r="321" ht="15.75" customHeight="1" s="35"/>
    <row r="322" ht="15.75" customHeight="1" s="35"/>
    <row r="323" ht="15.75" customHeight="1" s="35"/>
    <row r="324" ht="15.75" customHeight="1" s="35"/>
    <row r="325" ht="15.75" customHeight="1" s="35"/>
    <row r="326" ht="15.75" customHeight="1" s="35"/>
    <row r="327" ht="15.75" customHeight="1" s="35"/>
    <row r="328" ht="15.75" customHeight="1" s="35"/>
    <row r="329" ht="15.75" customHeight="1" s="35"/>
    <row r="330" ht="15.75" customHeight="1" s="35"/>
    <row r="331" ht="15.75" customHeight="1" s="35"/>
    <row r="332" ht="15.75" customHeight="1" s="35"/>
    <row r="333" ht="15.75" customHeight="1" s="35"/>
    <row r="334" ht="15.75" customHeight="1" s="35"/>
    <row r="335" ht="15.75" customHeight="1" s="35"/>
    <row r="336" ht="15.75" customHeight="1" s="35"/>
    <row r="337" ht="15.75" customHeight="1" s="35"/>
    <row r="338" ht="15.75" customHeight="1" s="35"/>
    <row r="339" ht="15.75" customHeight="1" s="35"/>
    <row r="340" ht="15.75" customHeight="1" s="35"/>
    <row r="341" ht="15.75" customHeight="1" s="35"/>
    <row r="342" ht="15.75" customHeight="1" s="35"/>
    <row r="343" ht="15.75" customHeight="1" s="35"/>
    <row r="344" ht="15.75" customHeight="1" s="35"/>
    <row r="345" ht="15.75" customHeight="1" s="35"/>
    <row r="346" ht="15.75" customHeight="1" s="35"/>
    <row r="347" ht="15.75" customHeight="1" s="35"/>
    <row r="348" ht="15.75" customHeight="1" s="35"/>
    <row r="349" ht="15.75" customHeight="1" s="35"/>
    <row r="350" ht="15.75" customHeight="1" s="35"/>
    <row r="351" ht="15.75" customHeight="1" s="35"/>
    <row r="352" ht="15.75" customHeight="1" s="35"/>
    <row r="353" ht="15.75" customHeight="1" s="35"/>
    <row r="354" ht="15.75" customHeight="1" s="35"/>
    <row r="355" ht="15.75" customHeight="1" s="35"/>
    <row r="356" ht="15.75" customHeight="1" s="35"/>
    <row r="357" ht="15.75" customHeight="1" s="35"/>
    <row r="358" ht="15.75" customHeight="1" s="35"/>
    <row r="359" ht="15.75" customHeight="1" s="35"/>
    <row r="360" ht="15.75" customHeight="1" s="35"/>
    <row r="361" ht="15.75" customHeight="1" s="35"/>
    <row r="362" ht="15.75" customHeight="1" s="35"/>
    <row r="363" ht="15.75" customHeight="1" s="35"/>
    <row r="364" ht="15.75" customHeight="1" s="35"/>
    <row r="365" ht="15.75" customHeight="1" s="35"/>
    <row r="366" ht="15.75" customHeight="1" s="35"/>
    <row r="367" ht="15.75" customHeight="1" s="35"/>
    <row r="368" ht="15.75" customHeight="1" s="35"/>
    <row r="369" ht="15.75" customHeight="1" s="35"/>
    <row r="370" ht="15.75" customHeight="1" s="35"/>
    <row r="371" ht="15.75" customHeight="1" s="35"/>
    <row r="372" ht="15.75" customHeight="1" s="35"/>
    <row r="373" ht="15.75" customHeight="1" s="35"/>
    <row r="374" ht="15.75" customHeight="1" s="35"/>
    <row r="375" ht="15.75" customHeight="1" s="35"/>
    <row r="376" ht="15.75" customHeight="1" s="35"/>
    <row r="377" ht="15.75" customHeight="1" s="35"/>
    <row r="378" ht="15.75" customHeight="1" s="35"/>
    <row r="379" ht="15.75" customHeight="1" s="35"/>
    <row r="380" ht="15.75" customHeight="1" s="35"/>
    <row r="381" ht="15.75" customHeight="1" s="35"/>
    <row r="382" ht="15.75" customHeight="1" s="35"/>
    <row r="383" ht="15.75" customHeight="1" s="35"/>
    <row r="384" ht="15.75" customHeight="1" s="35"/>
    <row r="385" ht="15.75" customHeight="1" s="35"/>
    <row r="386" ht="15.75" customHeight="1" s="35"/>
    <row r="387" ht="15.75" customHeight="1" s="35"/>
    <row r="388" ht="15.75" customHeight="1" s="35"/>
    <row r="389" ht="15.75" customHeight="1" s="35"/>
    <row r="390" ht="15.75" customHeight="1" s="35"/>
    <row r="391" ht="15.75" customHeight="1" s="35"/>
    <row r="392" ht="15.75" customHeight="1" s="35"/>
    <row r="393" ht="15.75" customHeight="1" s="35"/>
    <row r="394" ht="15.75" customHeight="1" s="35"/>
    <row r="395" ht="15.75" customHeight="1" s="35"/>
    <row r="396" ht="15.75" customHeight="1" s="35"/>
    <row r="397" ht="15.75" customHeight="1" s="35"/>
    <row r="398" ht="15.75" customHeight="1" s="35"/>
    <row r="399" ht="15.75" customHeight="1" s="35"/>
    <row r="400" ht="15.75" customHeight="1" s="35"/>
    <row r="401" ht="15.75" customHeight="1" s="35"/>
    <row r="402" ht="15.75" customHeight="1" s="35"/>
    <row r="403" ht="15.75" customHeight="1" s="35"/>
    <row r="404" ht="15.75" customHeight="1" s="35"/>
    <row r="405" ht="15.75" customHeight="1" s="35"/>
    <row r="406" ht="15.75" customHeight="1" s="35"/>
    <row r="407" ht="15.75" customHeight="1" s="35"/>
    <row r="408" ht="15.75" customHeight="1" s="35"/>
    <row r="409" ht="15.75" customHeight="1" s="35"/>
    <row r="410" ht="15.75" customHeight="1" s="35"/>
    <row r="411" ht="15.75" customHeight="1" s="35"/>
    <row r="412" ht="15.75" customHeight="1" s="35"/>
    <row r="413" ht="15.75" customHeight="1" s="35"/>
    <row r="414" ht="15.75" customHeight="1" s="35"/>
    <row r="415" ht="15.75" customHeight="1" s="35"/>
    <row r="416" ht="15.75" customHeight="1" s="35"/>
    <row r="417" ht="15.75" customHeight="1" s="35"/>
    <row r="418" ht="15.75" customHeight="1" s="35"/>
    <row r="419" ht="15.75" customHeight="1" s="35"/>
    <row r="420" ht="15.75" customHeight="1" s="35"/>
    <row r="421" ht="15.75" customHeight="1" s="35"/>
    <row r="422" ht="15.75" customHeight="1" s="35"/>
    <row r="423" ht="15.75" customHeight="1" s="35"/>
    <row r="424" ht="15.75" customHeight="1" s="35"/>
    <row r="425" ht="15.75" customHeight="1" s="35"/>
    <row r="426" ht="15.75" customHeight="1" s="35"/>
    <row r="427" ht="15.75" customHeight="1" s="35"/>
    <row r="428" ht="15.75" customHeight="1" s="35"/>
    <row r="429" ht="15.75" customHeight="1" s="35"/>
    <row r="430" ht="15.75" customHeight="1" s="35"/>
    <row r="431" ht="15.75" customHeight="1" s="35"/>
    <row r="432" ht="15.75" customHeight="1" s="35"/>
    <row r="433" ht="15.75" customHeight="1" s="35"/>
    <row r="434" ht="15.75" customHeight="1" s="35"/>
    <row r="435" ht="15.75" customHeight="1" s="35"/>
    <row r="436" ht="15.75" customHeight="1" s="35"/>
    <row r="437" ht="15.75" customHeight="1" s="35"/>
    <row r="438" ht="15.75" customHeight="1" s="35"/>
    <row r="439" ht="15.75" customHeight="1" s="35"/>
    <row r="440" ht="15.75" customHeight="1" s="35"/>
    <row r="441" ht="15.75" customHeight="1" s="35"/>
    <row r="442" ht="15.75" customHeight="1" s="35"/>
    <row r="443" ht="15.75" customHeight="1" s="35"/>
    <row r="444" ht="15.75" customHeight="1" s="35"/>
    <row r="445" ht="15.75" customHeight="1" s="35"/>
    <row r="446" ht="15.75" customHeight="1" s="35"/>
    <row r="447" ht="15.75" customHeight="1" s="35"/>
    <row r="448" ht="15.75" customHeight="1" s="35"/>
    <row r="449" ht="15.75" customHeight="1" s="35"/>
    <row r="450" ht="15.75" customHeight="1" s="35"/>
    <row r="451" ht="15.75" customHeight="1" s="35"/>
    <row r="452" ht="15.75" customHeight="1" s="35"/>
    <row r="453" ht="15.75" customHeight="1" s="35"/>
    <row r="454" ht="15.75" customHeight="1" s="35"/>
    <row r="455" ht="15.75" customHeight="1" s="35"/>
    <row r="456" ht="15.75" customHeight="1" s="35"/>
    <row r="457" ht="15.75" customHeight="1" s="35"/>
    <row r="458" ht="15.75" customHeight="1" s="35"/>
    <row r="459" ht="15.75" customHeight="1" s="35"/>
    <row r="460" ht="15.75" customHeight="1" s="35"/>
    <row r="461" ht="15.75" customHeight="1" s="35"/>
    <row r="462" ht="15.75" customHeight="1" s="35"/>
    <row r="463" ht="15.75" customHeight="1" s="35"/>
    <row r="464" ht="15.75" customHeight="1" s="35"/>
    <row r="465" ht="15.75" customHeight="1" s="35"/>
    <row r="466" ht="15.75" customHeight="1" s="35"/>
    <row r="467" ht="15.75" customHeight="1" s="35"/>
    <row r="468" ht="15.75" customHeight="1" s="35"/>
    <row r="469" ht="15.75" customHeight="1" s="35"/>
    <row r="470" ht="15.75" customHeight="1" s="35"/>
    <row r="471" ht="15.75" customHeight="1" s="35"/>
    <row r="472" ht="15.75" customHeight="1" s="35"/>
    <row r="473" ht="15.75" customHeight="1" s="35"/>
    <row r="474" ht="15.75" customHeight="1" s="35"/>
    <row r="475" ht="15.75" customHeight="1" s="35"/>
    <row r="476" ht="15.75" customHeight="1" s="35"/>
    <row r="477" ht="15.75" customHeight="1" s="35"/>
    <row r="478" ht="15.75" customHeight="1" s="35"/>
    <row r="479" ht="15.75" customHeight="1" s="35"/>
    <row r="480" ht="15.75" customHeight="1" s="35"/>
    <row r="481" ht="15.75" customHeight="1" s="35"/>
    <row r="482" ht="15.75" customHeight="1" s="35"/>
    <row r="483" ht="15.75" customHeight="1" s="35"/>
    <row r="484" ht="15.75" customHeight="1" s="35"/>
    <row r="485" ht="15.75" customHeight="1" s="35"/>
    <row r="486" ht="15.75" customHeight="1" s="35"/>
    <row r="487" ht="15.75" customHeight="1" s="35"/>
    <row r="488" ht="15.75" customHeight="1" s="35"/>
    <row r="489" ht="15.75" customHeight="1" s="35"/>
    <row r="490" ht="15.75" customHeight="1" s="35"/>
    <row r="491" ht="15.75" customHeight="1" s="35"/>
    <row r="492" ht="15.75" customHeight="1" s="35"/>
    <row r="493" ht="15.75" customHeight="1" s="35"/>
    <row r="494" ht="15.75" customHeight="1" s="35"/>
    <row r="495" ht="15.75" customHeight="1" s="35"/>
    <row r="496" ht="15.75" customHeight="1" s="35"/>
    <row r="497" ht="15.75" customHeight="1" s="35"/>
    <row r="498" ht="15.75" customHeight="1" s="35"/>
    <row r="499" ht="15.75" customHeight="1" s="35"/>
    <row r="500" ht="15.75" customHeight="1" s="35"/>
    <row r="501" ht="15.75" customHeight="1" s="35"/>
    <row r="502" ht="15.75" customHeight="1" s="35"/>
    <row r="503" ht="15.75" customHeight="1" s="35"/>
    <row r="504" ht="15.75" customHeight="1" s="35"/>
    <row r="505" ht="15.75" customHeight="1" s="35"/>
    <row r="506" ht="15.75" customHeight="1" s="35"/>
    <row r="507" ht="15.75" customHeight="1" s="35"/>
    <row r="508" ht="15.75" customHeight="1" s="35"/>
    <row r="509" ht="15.75" customHeight="1" s="35"/>
    <row r="510" ht="15.75" customHeight="1" s="35"/>
    <row r="511" ht="15.75" customHeight="1" s="35"/>
    <row r="512" ht="15.75" customHeight="1" s="35"/>
    <row r="513" ht="15.75" customHeight="1" s="35"/>
    <row r="514" ht="15.75" customHeight="1" s="35"/>
    <row r="515" ht="15.75" customHeight="1" s="35"/>
    <row r="516" ht="15.75" customHeight="1" s="35"/>
    <row r="517" ht="15.75" customHeight="1" s="35"/>
    <row r="518" ht="15.75" customHeight="1" s="35"/>
    <row r="519" ht="15.75" customHeight="1" s="35"/>
    <row r="520" ht="15.75" customHeight="1" s="35"/>
    <row r="521" ht="15.75" customHeight="1" s="35"/>
    <row r="522" ht="15.75" customHeight="1" s="35"/>
    <row r="523" ht="15.75" customHeight="1" s="35"/>
    <row r="524" ht="15.75" customHeight="1" s="35"/>
    <row r="525" ht="15.75" customHeight="1" s="35"/>
    <row r="526" ht="15.75" customHeight="1" s="35"/>
    <row r="527" ht="15.75" customHeight="1" s="35"/>
    <row r="528" ht="15.75" customHeight="1" s="35"/>
    <row r="529" ht="15.75" customHeight="1" s="35"/>
    <row r="530" ht="15.75" customHeight="1" s="35"/>
    <row r="531" ht="15.75" customHeight="1" s="35"/>
    <row r="532" ht="15.75" customHeight="1" s="35"/>
    <row r="533" ht="15.75" customHeight="1" s="35"/>
    <row r="534" ht="15.75" customHeight="1" s="35"/>
    <row r="535" ht="15.75" customHeight="1" s="35"/>
    <row r="536" ht="15.75" customHeight="1" s="35"/>
    <row r="537" ht="15.75" customHeight="1" s="35"/>
    <row r="538" ht="15.75" customHeight="1" s="35"/>
    <row r="539" ht="15.75" customHeight="1" s="35"/>
    <row r="540" ht="15.75" customHeight="1" s="35"/>
    <row r="541" ht="15.75" customHeight="1" s="35"/>
    <row r="542" ht="15.75" customHeight="1" s="35"/>
    <row r="543" ht="15.75" customHeight="1" s="35"/>
    <row r="544" ht="15.75" customHeight="1" s="35"/>
    <row r="545" ht="15.75" customHeight="1" s="35"/>
    <row r="546" ht="15.75" customHeight="1" s="35"/>
    <row r="547" ht="15.75" customHeight="1" s="35"/>
    <row r="548" ht="15.75" customHeight="1" s="35"/>
    <row r="549" ht="15.75" customHeight="1" s="35"/>
    <row r="550" ht="15.75" customHeight="1" s="35"/>
    <row r="551" ht="15.75" customHeight="1" s="35"/>
    <row r="552" ht="15.75" customHeight="1" s="35"/>
    <row r="553" ht="15.75" customHeight="1" s="35"/>
    <row r="554" ht="15.75" customHeight="1" s="35"/>
    <row r="555" ht="15.75" customHeight="1" s="35"/>
    <row r="556" ht="15.75" customHeight="1" s="35"/>
    <row r="557" ht="15.75" customHeight="1" s="35"/>
    <row r="558" ht="15.75" customHeight="1" s="35"/>
    <row r="559" ht="15.75" customHeight="1" s="35"/>
    <row r="560" ht="15.75" customHeight="1" s="35"/>
    <row r="561" ht="15.75" customHeight="1" s="35"/>
    <row r="562" ht="15.75" customHeight="1" s="35"/>
    <row r="563" ht="15.75" customHeight="1" s="35"/>
    <row r="564" ht="15.75" customHeight="1" s="35"/>
    <row r="565" ht="15.75" customHeight="1" s="35"/>
    <row r="566" ht="15.75" customHeight="1" s="35"/>
    <row r="567" ht="15.75" customHeight="1" s="35"/>
    <row r="568" ht="15.75" customHeight="1" s="35"/>
    <row r="569" ht="15.75" customHeight="1" s="35"/>
    <row r="570" ht="15.75" customHeight="1" s="35"/>
    <row r="571" ht="15.75" customHeight="1" s="35"/>
    <row r="572" ht="15.75" customHeight="1" s="35"/>
    <row r="573" ht="15.75" customHeight="1" s="35"/>
    <row r="574" ht="15.75" customHeight="1" s="35"/>
    <row r="575" ht="15.75" customHeight="1" s="35"/>
    <row r="576" ht="15.75" customHeight="1" s="35"/>
    <row r="577" ht="15.75" customHeight="1" s="35"/>
    <row r="578" ht="15.75" customHeight="1" s="35"/>
    <row r="579" ht="15.75" customHeight="1" s="35"/>
    <row r="580" ht="15.75" customHeight="1" s="35"/>
    <row r="581" ht="15.75" customHeight="1" s="35"/>
    <row r="582" ht="15.75" customHeight="1" s="35"/>
    <row r="583" ht="15.75" customHeight="1" s="35"/>
    <row r="584" ht="15.75" customHeight="1" s="35"/>
    <row r="585" ht="15.75" customHeight="1" s="35"/>
    <row r="586" ht="15.75" customHeight="1" s="35"/>
    <row r="587" ht="15.75" customHeight="1" s="35"/>
    <row r="588" ht="15.75" customHeight="1" s="35"/>
    <row r="589" ht="15.75" customHeight="1" s="35"/>
    <row r="590" ht="15.75" customHeight="1" s="35"/>
    <row r="591" ht="15.75" customHeight="1" s="35"/>
    <row r="592" ht="15.75" customHeight="1" s="35"/>
    <row r="593" ht="15.75" customHeight="1" s="35"/>
    <row r="594" ht="15.75" customHeight="1" s="35"/>
    <row r="595" ht="15.75" customHeight="1" s="35"/>
    <row r="596" ht="15.75" customHeight="1" s="35"/>
    <row r="597" ht="15.75" customHeight="1" s="35"/>
    <row r="598" ht="15.75" customHeight="1" s="35"/>
    <row r="599" ht="15.75" customHeight="1" s="35"/>
    <row r="600" ht="15.75" customHeight="1" s="35"/>
    <row r="601" ht="15.75" customHeight="1" s="35"/>
    <row r="602" ht="15.75" customHeight="1" s="35"/>
    <row r="603" ht="15.75" customHeight="1" s="35"/>
    <row r="604" ht="15.75" customHeight="1" s="35"/>
    <row r="605" ht="15.75" customHeight="1" s="35"/>
    <row r="606" ht="15.75" customHeight="1" s="35"/>
    <row r="607" ht="15.75" customHeight="1" s="35"/>
    <row r="608" ht="15.75" customHeight="1" s="35"/>
    <row r="609" ht="15.75" customHeight="1" s="35"/>
    <row r="610" ht="15.75" customHeight="1" s="35"/>
    <row r="611" ht="15.75" customHeight="1" s="35"/>
    <row r="612" ht="15.75" customHeight="1" s="35"/>
    <row r="613" ht="15.75" customHeight="1" s="35"/>
    <row r="614" ht="15.75" customHeight="1" s="35"/>
    <row r="615" ht="15.75" customHeight="1" s="35"/>
    <row r="616" ht="15.75" customHeight="1" s="35"/>
    <row r="617" ht="15.75" customHeight="1" s="35"/>
    <row r="618" ht="15.75" customHeight="1" s="35"/>
    <row r="619" ht="15.75" customHeight="1" s="35"/>
    <row r="620" ht="15.75" customHeight="1" s="35"/>
    <row r="621" ht="15.75" customHeight="1" s="35"/>
    <row r="622" ht="15.75" customHeight="1" s="35"/>
    <row r="623" ht="15.75" customHeight="1" s="35"/>
    <row r="624" ht="15.75" customHeight="1" s="35"/>
    <row r="625" ht="15.75" customHeight="1" s="35"/>
    <row r="626" ht="15.75" customHeight="1" s="35"/>
    <row r="627" ht="15.75" customHeight="1" s="35"/>
    <row r="628" ht="15.75" customHeight="1" s="35"/>
    <row r="629" ht="15.75" customHeight="1" s="35"/>
    <row r="630" ht="15.75" customHeight="1" s="35"/>
    <row r="631" ht="15.75" customHeight="1" s="35"/>
    <row r="632" ht="15.75" customHeight="1" s="35"/>
    <row r="633" ht="15.75" customHeight="1" s="35"/>
    <row r="634" ht="15.75" customHeight="1" s="35"/>
    <row r="635" ht="15.75" customHeight="1" s="35"/>
    <row r="636" ht="15.75" customHeight="1" s="35"/>
    <row r="637" ht="15.75" customHeight="1" s="35"/>
    <row r="638" ht="15.75" customHeight="1" s="35"/>
    <row r="639" ht="15.75" customHeight="1" s="35"/>
    <row r="640" ht="15.75" customHeight="1" s="35"/>
    <row r="641" ht="15.75" customHeight="1" s="35"/>
    <row r="642" ht="15.75" customHeight="1" s="35"/>
    <row r="643" ht="15.75" customHeight="1" s="35"/>
    <row r="644" ht="15.75" customHeight="1" s="35"/>
    <row r="645" ht="15.75" customHeight="1" s="35"/>
    <row r="646" ht="15.75" customHeight="1" s="35"/>
    <row r="647" ht="15.75" customHeight="1" s="35"/>
    <row r="648" ht="15.75" customHeight="1" s="35"/>
    <row r="649" ht="15.75" customHeight="1" s="35"/>
    <row r="650" ht="15.75" customHeight="1" s="35"/>
    <row r="651" ht="15.75" customHeight="1" s="35"/>
    <row r="652" ht="15.75" customHeight="1" s="35"/>
    <row r="653" ht="15.75" customHeight="1" s="35"/>
    <row r="654" ht="15.75" customHeight="1" s="35"/>
    <row r="655" ht="15.75" customHeight="1" s="35"/>
    <row r="656" ht="15.75" customHeight="1" s="35"/>
    <row r="657" ht="15.75" customHeight="1" s="35"/>
    <row r="658" ht="15.75" customHeight="1" s="35"/>
    <row r="659" ht="15.75" customHeight="1" s="35"/>
    <row r="660" ht="15.75" customHeight="1" s="35"/>
    <row r="661" ht="15.75" customHeight="1" s="35"/>
    <row r="662" ht="15.75" customHeight="1" s="35"/>
    <row r="663" ht="15.75" customHeight="1" s="35"/>
    <row r="664" ht="15.75" customHeight="1" s="35"/>
    <row r="665" ht="15.75" customHeight="1" s="35"/>
    <row r="666" ht="15.75" customHeight="1" s="35"/>
    <row r="667" ht="15.75" customHeight="1" s="35"/>
    <row r="668" ht="15.75" customHeight="1" s="35"/>
    <row r="669" ht="15.75" customHeight="1" s="35"/>
    <row r="670" ht="15.75" customHeight="1" s="35"/>
    <row r="671" ht="15.75" customHeight="1" s="35"/>
    <row r="672" ht="15.75" customHeight="1" s="35"/>
    <row r="673" ht="15.75" customHeight="1" s="35"/>
    <row r="674" ht="15.75" customHeight="1" s="35"/>
    <row r="675" ht="15.75" customHeight="1" s="35"/>
    <row r="676" ht="15.75" customHeight="1" s="35"/>
    <row r="677" ht="15.75" customHeight="1" s="35"/>
    <row r="678" ht="15.75" customHeight="1" s="35"/>
    <row r="679" ht="15.75" customHeight="1" s="35"/>
    <row r="680" ht="15.75" customHeight="1" s="35"/>
    <row r="681" ht="15.75" customHeight="1" s="35"/>
    <row r="682" ht="15.75" customHeight="1" s="35"/>
    <row r="683" ht="15.75" customHeight="1" s="35"/>
    <row r="684" ht="15.75" customHeight="1" s="35"/>
    <row r="685" ht="15.75" customHeight="1" s="35"/>
    <row r="686" ht="15.75" customHeight="1" s="35"/>
    <row r="687" ht="15.75" customHeight="1" s="35"/>
    <row r="688" ht="15.75" customHeight="1" s="35"/>
    <row r="689" ht="15.75" customHeight="1" s="35"/>
    <row r="690" ht="15.75" customHeight="1" s="35"/>
    <row r="691" ht="15.75" customHeight="1" s="35"/>
    <row r="692" ht="15.75" customHeight="1" s="35"/>
    <row r="693" ht="15.75" customHeight="1" s="35"/>
    <row r="694" ht="15.75" customHeight="1" s="35"/>
    <row r="695" ht="15.75" customHeight="1" s="35"/>
    <row r="696" ht="15.75" customHeight="1" s="35"/>
    <row r="697" ht="15.75" customHeight="1" s="35"/>
    <row r="698" ht="15.75" customHeight="1" s="35"/>
    <row r="699" ht="15.75" customHeight="1" s="35"/>
    <row r="700" ht="15.75" customHeight="1" s="35"/>
    <row r="701" ht="15.75" customHeight="1" s="35"/>
    <row r="702" ht="15.75" customHeight="1" s="35"/>
    <row r="703" ht="15.75" customHeight="1" s="35"/>
    <row r="704" ht="15.75" customHeight="1" s="35"/>
    <row r="705" ht="15.75" customHeight="1" s="35"/>
    <row r="706" ht="15.75" customHeight="1" s="35"/>
    <row r="707" ht="15.75" customHeight="1" s="35"/>
    <row r="708" ht="15.75" customHeight="1" s="35"/>
    <row r="709" ht="15.75" customHeight="1" s="35"/>
    <row r="710" ht="15.75" customHeight="1" s="35"/>
    <row r="711" ht="15.75" customHeight="1" s="35"/>
    <row r="712" ht="15.75" customHeight="1" s="35"/>
    <row r="713" ht="15.75" customHeight="1" s="35"/>
    <row r="714" ht="15.75" customHeight="1" s="35"/>
    <row r="715" ht="15.75" customHeight="1" s="35"/>
    <row r="716" ht="15.75" customHeight="1" s="35"/>
    <row r="717" ht="15.75" customHeight="1" s="35"/>
    <row r="718" ht="15.75" customHeight="1" s="35"/>
    <row r="719" ht="15.75" customHeight="1" s="35"/>
    <row r="720" ht="15.75" customHeight="1" s="35"/>
    <row r="721" ht="15.75" customHeight="1" s="35"/>
    <row r="722" ht="15.75" customHeight="1" s="35"/>
    <row r="723" ht="15.75" customHeight="1" s="35"/>
    <row r="724" ht="15.75" customHeight="1" s="35"/>
    <row r="725" ht="15.75" customHeight="1" s="35"/>
    <row r="726" ht="15.75" customHeight="1" s="35"/>
    <row r="727" ht="15.75" customHeight="1" s="35"/>
    <row r="728" ht="15.75" customHeight="1" s="35"/>
    <row r="729" ht="15.75" customHeight="1" s="35"/>
    <row r="730" ht="15.75" customHeight="1" s="35"/>
    <row r="731" ht="15.75" customHeight="1" s="35"/>
    <row r="732" ht="15.75" customHeight="1" s="35"/>
    <row r="733" ht="15.75" customHeight="1" s="35"/>
    <row r="734" ht="15.75" customHeight="1" s="35"/>
    <row r="735" ht="15.75" customHeight="1" s="35"/>
    <row r="736" ht="15.75" customHeight="1" s="35"/>
    <row r="737" ht="15.75" customHeight="1" s="35"/>
    <row r="738" ht="15.75" customHeight="1" s="35"/>
    <row r="739" ht="15.75" customHeight="1" s="35"/>
    <row r="740" ht="15.75" customHeight="1" s="35"/>
    <row r="741" ht="15.75" customHeight="1" s="35"/>
    <row r="742" ht="15.75" customHeight="1" s="35"/>
    <row r="743" ht="15.75" customHeight="1" s="35"/>
    <row r="744" ht="15.75" customHeight="1" s="35"/>
    <row r="745" ht="15.75" customHeight="1" s="35"/>
    <row r="746" ht="15.75" customHeight="1" s="35"/>
    <row r="747" ht="15.75" customHeight="1" s="35"/>
    <row r="748" ht="15.75" customHeight="1" s="35"/>
    <row r="749" ht="15.75" customHeight="1" s="35"/>
    <row r="750" ht="15.75" customHeight="1" s="35"/>
    <row r="751" ht="15.75" customHeight="1" s="35"/>
    <row r="752" ht="15.75" customHeight="1" s="35"/>
    <row r="753" ht="15.75" customHeight="1" s="35"/>
    <row r="754" ht="15.75" customHeight="1" s="35"/>
    <row r="755" ht="15.75" customHeight="1" s="35"/>
    <row r="756" ht="15.75" customHeight="1" s="35"/>
    <row r="757" ht="15.75" customHeight="1" s="35"/>
    <row r="758" ht="15.75" customHeight="1" s="35"/>
    <row r="759" ht="15.75" customHeight="1" s="35"/>
    <row r="760" ht="15.75" customHeight="1" s="35"/>
    <row r="761" ht="15.75" customHeight="1" s="35"/>
    <row r="762" ht="15.75" customHeight="1" s="35"/>
    <row r="763" ht="15.75" customHeight="1" s="35"/>
    <row r="764" ht="15.75" customHeight="1" s="35"/>
    <row r="765" ht="15.75" customHeight="1" s="35"/>
    <row r="766" ht="15.75" customHeight="1" s="35"/>
    <row r="767" ht="15.75" customHeight="1" s="35"/>
    <row r="768" ht="15.75" customHeight="1" s="35"/>
    <row r="769" ht="15.75" customHeight="1" s="35"/>
    <row r="770" ht="15.75" customHeight="1" s="35"/>
    <row r="771" ht="15.75" customHeight="1" s="35"/>
    <row r="772" ht="15.75" customHeight="1" s="35"/>
    <row r="773" ht="15.75" customHeight="1" s="35"/>
    <row r="774" ht="15.75" customHeight="1" s="35"/>
    <row r="775" ht="15.75" customHeight="1" s="35"/>
    <row r="776" ht="15.75" customHeight="1" s="35"/>
    <row r="777" ht="15.75" customHeight="1" s="35"/>
    <row r="778" ht="15.75" customHeight="1" s="35"/>
    <row r="779" ht="15.75" customHeight="1" s="35"/>
    <row r="780" ht="15.75" customHeight="1" s="35"/>
    <row r="781" ht="15.75" customHeight="1" s="35"/>
    <row r="782" ht="15.75" customHeight="1" s="35"/>
    <row r="783" ht="15.75" customHeight="1" s="35"/>
    <row r="784" ht="15.75" customHeight="1" s="35"/>
    <row r="785" ht="15.75" customHeight="1" s="35"/>
    <row r="786" ht="15.75" customHeight="1" s="35"/>
    <row r="787" ht="15.75" customHeight="1" s="35"/>
    <row r="788" ht="15.75" customHeight="1" s="35"/>
    <row r="789" ht="15.75" customHeight="1" s="35"/>
    <row r="790" ht="15.75" customHeight="1" s="35"/>
    <row r="791" ht="15.75" customHeight="1" s="35"/>
    <row r="792" ht="15.75" customHeight="1" s="35"/>
    <row r="793" ht="15.75" customHeight="1" s="35"/>
    <row r="794" ht="15.75" customHeight="1" s="35"/>
    <row r="795" ht="15.75" customHeight="1" s="35"/>
    <row r="796" ht="15.75" customHeight="1" s="35"/>
    <row r="797" ht="15.75" customHeight="1" s="35"/>
    <row r="798" ht="15.75" customHeight="1" s="35"/>
    <row r="799" ht="15.75" customHeight="1" s="35"/>
    <row r="800" ht="15.75" customHeight="1" s="35"/>
    <row r="801" ht="15.75" customHeight="1" s="35"/>
    <row r="802" ht="15.75" customHeight="1" s="35"/>
    <row r="803" ht="15.75" customHeight="1" s="35"/>
    <row r="804" ht="15.75" customHeight="1" s="35"/>
    <row r="805" ht="15.75" customHeight="1" s="35"/>
    <row r="806" ht="15.75" customHeight="1" s="35"/>
    <row r="807" ht="15.75" customHeight="1" s="35"/>
    <row r="808" ht="15.75" customHeight="1" s="35"/>
    <row r="809" ht="15.75" customHeight="1" s="35"/>
    <row r="810" ht="15.75" customHeight="1" s="35"/>
    <row r="811" ht="15.75" customHeight="1" s="35"/>
    <row r="812" ht="15.75" customHeight="1" s="35"/>
    <row r="813" ht="15.75" customHeight="1" s="35"/>
    <row r="814" ht="15.75" customHeight="1" s="35"/>
    <row r="815" ht="15.75" customHeight="1" s="35"/>
    <row r="816" ht="15.75" customHeight="1" s="35"/>
    <row r="817" ht="15.75" customHeight="1" s="35"/>
    <row r="818" ht="15.75" customHeight="1" s="35"/>
    <row r="819" ht="15.75" customHeight="1" s="35"/>
    <row r="820" ht="15.75" customHeight="1" s="35"/>
    <row r="821" ht="15.75" customHeight="1" s="35"/>
    <row r="822" ht="15.75" customHeight="1" s="35"/>
    <row r="823" ht="15.75" customHeight="1" s="35"/>
    <row r="824" ht="15.75" customHeight="1" s="35"/>
    <row r="825" ht="15.75" customHeight="1" s="35"/>
    <row r="826" ht="15.75" customHeight="1" s="35"/>
    <row r="827" ht="15.75" customHeight="1" s="35"/>
    <row r="828" ht="15.75" customHeight="1" s="35"/>
    <row r="829" ht="15.75" customHeight="1" s="35"/>
    <row r="830" ht="15.75" customHeight="1" s="35"/>
    <row r="831" ht="15.75" customHeight="1" s="35"/>
    <row r="832" ht="15.75" customHeight="1" s="35"/>
    <row r="833" ht="15.75" customHeight="1" s="35"/>
    <row r="834" ht="15.75" customHeight="1" s="35"/>
    <row r="835" ht="15.75" customHeight="1" s="35"/>
    <row r="836" ht="15.75" customHeight="1" s="35"/>
    <row r="837" ht="15.75" customHeight="1" s="35"/>
    <row r="838" ht="15.75" customHeight="1" s="35"/>
    <row r="839" ht="15.75" customHeight="1" s="35"/>
    <row r="840" ht="15.75" customHeight="1" s="35"/>
    <row r="841" ht="15.75" customHeight="1" s="35"/>
    <row r="842" ht="15.75" customHeight="1" s="35"/>
    <row r="843" ht="15.75" customHeight="1" s="35"/>
    <row r="844" ht="15.75" customHeight="1" s="35"/>
    <row r="845" ht="15.75" customHeight="1" s="35"/>
    <row r="846" ht="15.75" customHeight="1" s="35"/>
    <row r="847" ht="15.75" customHeight="1" s="35"/>
    <row r="848" ht="15.75" customHeight="1" s="35"/>
    <row r="849" ht="15.75" customHeight="1" s="35"/>
    <row r="850" ht="15.75" customHeight="1" s="35"/>
    <row r="851" ht="15.75" customHeight="1" s="35"/>
    <row r="852" ht="15.75" customHeight="1" s="35"/>
    <row r="853" ht="15.75" customHeight="1" s="35"/>
    <row r="854" ht="15.75" customHeight="1" s="35"/>
    <row r="855" ht="15.75" customHeight="1" s="35"/>
    <row r="856" ht="15.75" customHeight="1" s="35"/>
    <row r="857" ht="15.75" customHeight="1" s="35"/>
    <row r="858" ht="15.75" customHeight="1" s="35"/>
    <row r="859" ht="15.75" customHeight="1" s="35"/>
    <row r="860" ht="15.75" customHeight="1" s="35"/>
    <row r="861" ht="15.75" customHeight="1" s="35"/>
    <row r="862" ht="15.75" customHeight="1" s="35"/>
    <row r="863" ht="15.75" customHeight="1" s="35"/>
    <row r="864" ht="15.75" customHeight="1" s="35"/>
    <row r="865" ht="15.75" customHeight="1" s="35"/>
    <row r="866" ht="15.75" customHeight="1" s="35"/>
    <row r="867" ht="15.75" customHeight="1" s="35"/>
    <row r="868" ht="15.75" customHeight="1" s="35"/>
    <row r="869" ht="15.75" customHeight="1" s="35"/>
    <row r="870" ht="15.75" customHeight="1" s="35"/>
    <row r="871" ht="15.75" customHeight="1" s="35"/>
    <row r="872" ht="15.75" customHeight="1" s="35"/>
    <row r="873" ht="15.75" customHeight="1" s="35"/>
    <row r="874" ht="15.75" customHeight="1" s="35"/>
    <row r="875" ht="15.75" customHeight="1" s="35"/>
    <row r="876" ht="15.75" customHeight="1" s="35"/>
    <row r="877" ht="15.75" customHeight="1" s="35"/>
    <row r="878" ht="15.75" customHeight="1" s="35"/>
    <row r="879" ht="15.75" customHeight="1" s="35"/>
    <row r="880" ht="15.75" customHeight="1" s="35"/>
    <row r="881" ht="15.75" customHeight="1" s="35"/>
    <row r="882" ht="15.75" customHeight="1" s="35"/>
    <row r="883" ht="15.75" customHeight="1" s="35"/>
    <row r="884" ht="15.75" customHeight="1" s="35"/>
    <row r="885" ht="15.75" customHeight="1" s="35"/>
    <row r="886" ht="15.75" customHeight="1" s="35"/>
    <row r="887" ht="15.75" customHeight="1" s="35"/>
    <row r="888" ht="15.75" customHeight="1" s="35"/>
    <row r="889" ht="15.75" customHeight="1" s="35"/>
    <row r="890" ht="15.75" customHeight="1" s="35"/>
    <row r="891" ht="15.75" customHeight="1" s="35"/>
    <row r="892" ht="15.75" customHeight="1" s="35"/>
    <row r="893" ht="15.75" customHeight="1" s="35"/>
    <row r="894" ht="15.75" customHeight="1" s="35"/>
    <row r="895" ht="15.75" customHeight="1" s="35"/>
    <row r="896" ht="15.75" customHeight="1" s="35"/>
    <row r="897" ht="15.75" customHeight="1" s="35"/>
    <row r="898" ht="15.75" customHeight="1" s="35"/>
    <row r="899" ht="15.75" customHeight="1" s="35"/>
    <row r="900" ht="15.75" customHeight="1" s="35"/>
    <row r="901" ht="15.75" customHeight="1" s="35"/>
    <row r="902" ht="15.75" customHeight="1" s="35"/>
    <row r="903" ht="15.75" customHeight="1" s="35"/>
    <row r="904" ht="15.75" customHeight="1" s="35"/>
    <row r="905" ht="15.75" customHeight="1" s="35"/>
    <row r="906" ht="15.75" customHeight="1" s="35"/>
    <row r="907" ht="15.75" customHeight="1" s="35"/>
    <row r="908" ht="15.75" customHeight="1" s="35"/>
    <row r="909" ht="15.75" customHeight="1" s="35"/>
    <row r="910" ht="15.75" customHeight="1" s="35"/>
    <row r="911" ht="15.75" customHeight="1" s="35"/>
    <row r="912" ht="15.75" customHeight="1" s="35"/>
    <row r="913" ht="15.75" customHeight="1" s="35"/>
    <row r="914" ht="15.75" customHeight="1" s="35"/>
    <row r="915" ht="15.75" customHeight="1" s="35"/>
    <row r="916" ht="15.75" customHeight="1" s="35"/>
    <row r="917" ht="15.75" customHeight="1" s="35"/>
    <row r="918" ht="15.75" customHeight="1" s="35"/>
    <row r="919" ht="15.75" customHeight="1" s="35"/>
    <row r="920" ht="15.75" customHeight="1" s="35"/>
    <row r="921" ht="15.75" customHeight="1" s="35"/>
    <row r="922" ht="15.75" customHeight="1" s="35"/>
    <row r="923" ht="15.75" customHeight="1" s="35"/>
    <row r="924" ht="15.75" customHeight="1" s="35"/>
    <row r="925" ht="15.75" customHeight="1" s="35"/>
    <row r="926" ht="15.75" customHeight="1" s="35"/>
    <row r="927" ht="15.75" customHeight="1" s="35"/>
    <row r="928" ht="15.75" customHeight="1" s="35"/>
    <row r="929" ht="15.75" customHeight="1" s="35"/>
    <row r="930" ht="15.75" customHeight="1" s="35"/>
    <row r="931" ht="15.75" customHeight="1" s="35"/>
    <row r="932" ht="15.75" customHeight="1" s="35"/>
    <row r="933" ht="15.75" customHeight="1" s="35"/>
    <row r="934" ht="15.75" customHeight="1" s="35"/>
    <row r="935" ht="15.75" customHeight="1" s="35"/>
    <row r="936" ht="15.75" customHeight="1" s="35"/>
    <row r="937" ht="15.75" customHeight="1" s="35"/>
    <row r="938" ht="15.75" customHeight="1" s="35"/>
    <row r="939" ht="15.75" customHeight="1" s="35"/>
    <row r="940" ht="15.75" customHeight="1" s="35"/>
    <row r="941" ht="15.75" customHeight="1" s="35"/>
    <row r="942" ht="15.75" customHeight="1" s="35"/>
    <row r="943" ht="15.75" customHeight="1" s="35"/>
    <row r="944" ht="15.75" customHeight="1" s="35"/>
    <row r="945" ht="15.75" customHeight="1" s="35"/>
    <row r="946" ht="15.75" customHeight="1" s="35"/>
    <row r="947" ht="15.75" customHeight="1" s="35"/>
    <row r="948" ht="15.75" customHeight="1" s="35"/>
    <row r="949" ht="15.75" customHeight="1" s="35"/>
    <row r="950" ht="15.75" customHeight="1" s="35"/>
    <row r="951" ht="15.75" customHeight="1" s="35"/>
    <row r="952" ht="15.75" customHeight="1" s="35"/>
    <row r="953" ht="15.75" customHeight="1" s="35"/>
    <row r="954" ht="15.75" customHeight="1" s="35"/>
    <row r="955" ht="15.75" customHeight="1" s="35"/>
    <row r="956" ht="15.75" customHeight="1" s="35"/>
    <row r="957" ht="15.75" customHeight="1" s="35"/>
    <row r="958" ht="15.75" customHeight="1" s="35"/>
    <row r="959" ht="15.75" customHeight="1" s="35"/>
    <row r="960" ht="15.75" customHeight="1" s="35"/>
    <row r="961" ht="15.75" customHeight="1" s="35"/>
    <row r="962" ht="15.75" customHeight="1" s="35"/>
    <row r="963" ht="15.75" customHeight="1" s="35"/>
    <row r="964" ht="15.75" customHeight="1" s="35"/>
    <row r="965" ht="15.75" customHeight="1" s="35"/>
    <row r="966" ht="15.75" customHeight="1" s="35"/>
    <row r="967" ht="15.75" customHeight="1" s="35"/>
    <row r="968" ht="15.75" customHeight="1" s="35"/>
    <row r="969" ht="15.75" customHeight="1" s="35"/>
    <row r="970" ht="15.75" customHeight="1" s="35"/>
    <row r="971" ht="15.75" customHeight="1" s="35"/>
    <row r="972" ht="15.75" customHeight="1" s="35"/>
    <row r="973" ht="15.75" customHeight="1" s="35"/>
    <row r="974" ht="15.75" customHeight="1" s="35"/>
    <row r="975" ht="15.75" customHeight="1" s="35"/>
    <row r="976" ht="15.75" customHeight="1" s="35"/>
    <row r="977" ht="15.75" customHeight="1" s="35"/>
    <row r="978" ht="15.75" customHeight="1" s="35"/>
    <row r="979" ht="15.75" customHeight="1" s="35"/>
    <row r="980" ht="15.75" customHeight="1" s="35"/>
    <row r="981" ht="15.75" customHeight="1" s="35"/>
    <row r="982" ht="15.75" customHeight="1" s="35"/>
    <row r="983" ht="15.75" customHeight="1" s="35"/>
    <row r="984" ht="15.75" customHeight="1" s="35"/>
    <row r="985" ht="15.75" customHeight="1" s="35"/>
    <row r="986" ht="15.75" customHeight="1" s="35"/>
    <row r="987" ht="15.75" customHeight="1" s="35"/>
    <row r="988" ht="15.75" customHeight="1" s="35"/>
    <row r="989" ht="15.75" customHeight="1" s="35"/>
    <row r="990" ht="15.75" customHeight="1" s="35"/>
    <row r="991" ht="15.75" customHeight="1" s="35"/>
    <row r="992" ht="15.75" customHeight="1" s="35"/>
    <row r="993" ht="15.75" customHeight="1" s="35"/>
    <row r="994" ht="15.75" customHeight="1" s="35"/>
    <row r="995" ht="15.75" customHeight="1" s="35"/>
    <row r="996" ht="15.75" customHeight="1" s="35"/>
    <row r="997" ht="15.75" customHeight="1" s="35"/>
    <row r="998" ht="15.75" customHeight="1" s="35"/>
    <row r="999" ht="15.75" customHeight="1" s="35"/>
    <row r="1000" ht="15.75" customHeight="1" s="35"/>
  </sheetData>
  <mergeCells count="30">
    <mergeCell ref="F31:I31"/>
    <mergeCell ref="E12:I12"/>
    <mergeCell ref="E24:I24"/>
    <mergeCell ref="A18:C18"/>
    <mergeCell ref="A27:I27"/>
    <mergeCell ref="A3:I3"/>
    <mergeCell ref="E5:I5"/>
    <mergeCell ref="E23:I23"/>
    <mergeCell ref="E8:I8"/>
    <mergeCell ref="E14:I14"/>
    <mergeCell ref="E4:I4"/>
    <mergeCell ref="E13:I13"/>
    <mergeCell ref="F29:I29"/>
    <mergeCell ref="A20:I20"/>
    <mergeCell ref="A21:B21"/>
    <mergeCell ref="E15:I15"/>
    <mergeCell ref="E6:I6"/>
    <mergeCell ref="A10:I10"/>
    <mergeCell ref="F30:I30"/>
    <mergeCell ref="F33:I33"/>
    <mergeCell ref="F32:I32"/>
    <mergeCell ref="A11:F11"/>
    <mergeCell ref="E7:I7"/>
    <mergeCell ref="E16:I16"/>
    <mergeCell ref="E25:I25"/>
    <mergeCell ref="A1:I1"/>
    <mergeCell ref="E22:I22"/>
    <mergeCell ref="D21:I21"/>
    <mergeCell ref="E18:I18"/>
    <mergeCell ref="F28:I28"/>
  </mergeCells>
  <pageMargins left="0.75" right="0.75" top="1" bottom="1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0" customWidth="1" style="35" min="1" max="1"/>
    <col width="19" customWidth="1" style="35" min="2" max="2"/>
    <col width="16" customWidth="1" style="35" min="3" max="3"/>
    <col width="50" customWidth="1" style="35" min="4" max="4"/>
    <col width="22" customWidth="1" style="35" min="5" max="5"/>
    <col width="22" customWidth="1" style="35" min="6" max="6"/>
  </cols>
  <sheetData>
    <row r="1" ht="24" customHeight="1" s="35">
      <c r="A1" s="44" t="inlineStr">
        <is>
          <t>CASO 3: Estimación de la Demanda – LegendaryClass (Sistema de Gamificación Educativa)</t>
        </is>
      </c>
    </row>
    <row r="2" ht="18" customHeight="1" s="35">
      <c r="A2" s="45" t="inlineStr">
        <is>
          <t>9. SEGMENTACIÓN DEL MERCADO</t>
        </is>
      </c>
    </row>
    <row r="3" ht="30" customHeight="1" s="35">
      <c r="A3" s="46" t="inlineStr">
        <is>
          <t>Nivel de mercado</t>
        </is>
      </c>
      <c r="B3" s="46" t="inlineStr">
        <is>
          <t>Fórmula / Criterio</t>
        </is>
      </c>
      <c r="C3" s="46" t="inlineStr">
        <is>
          <t>Docentes</t>
        </is>
      </c>
      <c r="D3" s="46" t="inlineStr">
        <is>
          <t>% Filtro</t>
        </is>
      </c>
      <c r="E3" s="46" t="inlineStr">
        <is>
          <t>Descripción</t>
        </is>
      </c>
    </row>
    <row r="4">
      <c r="A4" s="47" t="inlineStr">
        <is>
          <t>Mercado Potencial</t>
        </is>
      </c>
      <c r="B4" s="75" t="inlineStr">
        <is>
          <t>Total docentes Lima (MINEDU 2024)</t>
        </is>
      </c>
      <c r="C4" s="76" t="n">
        <v>185000</v>
      </c>
      <c r="D4" s="77" t="inlineStr">
        <is>
          <t>—</t>
        </is>
      </c>
      <c r="E4" s="75" t="inlineStr">
        <is>
          <t>Total docentes en Lima Metropolitana (fuente: MINEDU 2024)</t>
        </is>
      </c>
    </row>
    <row r="5">
      <c r="A5" s="47" t="inlineStr">
        <is>
          <t>Mercado Disponible</t>
        </is>
      </c>
      <c r="B5" s="75" t="inlineStr">
        <is>
          <t>Potencial × 96%</t>
        </is>
      </c>
      <c r="C5" s="76">
        <f>C4*0.96</f>
        <v/>
      </c>
      <c r="D5" s="78" t="n">
        <v>0.96</v>
      </c>
      <c r="E5" s="75" t="inlineStr">
        <is>
          <t>Laboran activamente en instituciones educativas (96 de 100 encuestados)</t>
        </is>
      </c>
    </row>
    <row r="6">
      <c r="A6" s="47" t="inlineStr">
        <is>
          <t>Mercado Efectivo</t>
        </is>
      </c>
      <c r="B6" s="75" t="inlineStr">
        <is>
          <t>Disponible × 58%</t>
        </is>
      </c>
      <c r="C6" s="76">
        <f>C5*0.58</f>
        <v/>
      </c>
      <c r="D6" s="78" t="n">
        <v>0.58</v>
      </c>
      <c r="E6" s="75" t="inlineStr">
        <is>
          <t>Enfrentan baja motivación estudiantil Siempre o Frecuentemente (Q6: 22+36=58/100)</t>
        </is>
      </c>
    </row>
    <row r="7">
      <c r="A7" s="47" t="inlineStr">
        <is>
          <t>Mercado Objetivo</t>
        </is>
      </c>
      <c r="B7" s="75" t="inlineStr">
        <is>
          <t>Efectivo × (80/100)</t>
        </is>
      </c>
      <c r="C7" s="76">
        <f>ROUND(C6*(80/100),0)</f>
        <v/>
      </c>
      <c r="D7" s="77" t="inlineStr">
        <is>
          <t>80/100</t>
        </is>
      </c>
      <c r="E7" s="75" t="inlineStr">
        <is>
          <t>Dispuestos a implementar LegendaryClass según encuesta (Q13: 38+42=80 de 100)</t>
        </is>
      </c>
    </row>
    <row r="8" ht="6" customHeight="1" s="35"/>
    <row r="9" ht="18" customHeight="1" s="35">
      <c r="A9" s="45" t="inlineStr">
        <is>
          <t>10. ANÁLISIS DEL PRECIO PONDERADO DE SUSCRIPCIÓN</t>
        </is>
      </c>
    </row>
    <row r="10" ht="14" customHeight="1" s="35">
      <c r="A10" s="52" t="inlineStr">
        <is>
          <t>Disposición de pago mensual por funciones premium (encuesta a 100 docentes – solo respuestas con precio definido: 61 respuestas válidas con rango de precio)</t>
        </is>
      </c>
    </row>
    <row r="11" ht="30" customHeight="1" s="35">
      <c r="A11" s="46" t="inlineStr">
        <is>
          <t>Rango de precio mensual</t>
        </is>
      </c>
      <c r="B11" s="46" t="inlineStr">
        <is>
          <t>N° respuestas</t>
        </is>
      </c>
      <c r="C11" s="46" t="inlineStr">
        <is>
          <t>Proporción</t>
        </is>
      </c>
      <c r="D11" s="46" t="inlineStr">
        <is>
          <t>Precio mensual (S/.)</t>
        </is>
      </c>
      <c r="E11" s="46" t="inlineStr">
        <is>
          <t>Precio anual (S/.)</t>
        </is>
      </c>
      <c r="F11" s="46" t="inlineStr">
        <is>
          <t>Ponderación anual (S/.)</t>
        </is>
      </c>
    </row>
    <row r="12">
      <c r="A12" s="53" t="inlineStr">
        <is>
          <t>S/.20–40/mes (promedio S/.30)</t>
        </is>
      </c>
      <c r="B12" s="76" t="n">
        <v>35</v>
      </c>
      <c r="C12" s="79">
        <f>B12/61</f>
        <v/>
      </c>
      <c r="D12" s="80" t="n">
        <v>30</v>
      </c>
      <c r="E12" s="80" t="n">
        <v>360</v>
      </c>
      <c r="F12" s="80">
        <f>C12*E12</f>
        <v/>
      </c>
    </row>
    <row r="13">
      <c r="A13" s="53" t="inlineStr">
        <is>
          <t>S/.41–70/mes (promedio S/.55)</t>
        </is>
      </c>
      <c r="B13" s="76" t="n">
        <v>18</v>
      </c>
      <c r="C13" s="79">
        <f>B13/61</f>
        <v/>
      </c>
      <c r="D13" s="80" t="n">
        <v>55</v>
      </c>
      <c r="E13" s="80" t="n">
        <v>660</v>
      </c>
      <c r="F13" s="80">
        <f>C13*E13</f>
        <v/>
      </c>
    </row>
    <row r="14">
      <c r="A14" s="53" t="inlineStr">
        <is>
          <t>S/.71–100/mes (promedio S/.85)</t>
        </is>
      </c>
      <c r="B14" s="76" t="n">
        <v>8</v>
      </c>
      <c r="C14" s="79">
        <f>B14/61</f>
        <v/>
      </c>
      <c r="D14" s="80" t="n">
        <v>85</v>
      </c>
      <c r="E14" s="80" t="n">
        <v>1020</v>
      </c>
      <c r="F14" s="80">
        <f>C14*E14</f>
        <v/>
      </c>
    </row>
    <row r="15" ht="16" customHeight="1" s="35">
      <c r="A15" s="81" t="inlineStr">
        <is>
          <t>TOTAL PAGADORES CON PRECIO DEFINIDO</t>
        </is>
      </c>
      <c r="B15" s="82">
        <f>SUM(B12:B14)</f>
        <v/>
      </c>
      <c r="C15" s="58" t="n"/>
      <c r="D15" s="58" t="n"/>
      <c r="E15" s="58" t="n"/>
      <c r="F15" s="83">
        <f>SUM(F12:F14)</f>
        <v/>
      </c>
    </row>
    <row r="16" ht="16" customHeight="1" s="35">
      <c r="A16" s="47" t="inlineStr">
        <is>
          <t>PRECIO ANUAL PONDERADO (S/. / docente / año)</t>
        </is>
      </c>
      <c r="C16" s="84">
        <f>F15</f>
        <v/>
      </c>
      <c r="D16" s="52" t="inlineStr">
        <is>
          <t>Ponderado sobre 61 encuestados con precio definido: 35→S/.360/año, 18→S/.660/año, 8→S/.1,020/año</t>
        </is>
      </c>
    </row>
    <row r="17" ht="16" customHeight="1" s="35">
      <c r="A17" s="47" t="inlineStr">
        <is>
          <t>DEMANDA ANUAL (suscripciones / año)</t>
        </is>
      </c>
      <c r="C17" s="85">
        <f>C7</f>
        <v/>
      </c>
      <c r="D17" s="52" t="inlineStr">
        <is>
          <t>Mercado Objetivo × 1 suscripción anual por docente</t>
        </is>
      </c>
    </row>
    <row r="18" ht="24" customHeight="1" s="35">
      <c r="A18" s="52" t="inlineStr">
        <is>
          <t>Nota: LegendaryClass es un servicio SaaS; cada docente del mercado objetivo requiere 1 suscripción anual. Las proporciones de precio se calculan sobre los 61 encuestados que indicaron un rango de precio definido (se excluyen: 15 solo versión gratuita, 22 «tal vez», 2 sin interés).</t>
        </is>
      </c>
    </row>
    <row r="19" ht="6" customHeight="1" s="35"/>
    <row r="20" ht="18" customHeight="1" s="35">
      <c r="A20" s="45" t="inlineStr">
        <is>
          <t>11. ANÁLISIS DE INGRESOS ANUALES – ESCENARIOS DE VENTAS</t>
        </is>
      </c>
    </row>
    <row r="21" ht="16" customHeight="1" s="35">
      <c r="A21" s="47" t="inlineStr">
        <is>
          <t>Precio anual ponderado (S/.)</t>
        </is>
      </c>
      <c r="C21" s="84">
        <f>C16</f>
        <v/>
      </c>
      <c r="D21" s="52" t="inlineStr">
        <is>
          <t>Ponderado sobre 61 encuestados: 35→S/.360, 18→S/.660, 8→S/.1,020 (precio anual)</t>
        </is>
      </c>
    </row>
    <row r="22" ht="30" customHeight="1" s="35">
      <c r="A22" s="46" t="inlineStr">
        <is>
          <t>Escenario</t>
        </is>
      </c>
      <c r="B22" s="46" t="inlineStr">
        <is>
          <t>% Captación</t>
        </is>
      </c>
      <c r="C22" s="46" t="inlineStr">
        <is>
          <t>Suscripciones</t>
        </is>
      </c>
      <c r="D22" s="46" t="inlineStr">
        <is>
          <t>Precio Anual (S/.)</t>
        </is>
      </c>
      <c r="E22" s="46" t="inlineStr">
        <is>
          <t>Ingresos Anuales (S/.)</t>
        </is>
      </c>
    </row>
    <row r="23">
      <c r="A23" s="86" t="inlineStr">
        <is>
          <t>Optimista</t>
        </is>
      </c>
      <c r="B23" s="87" t="n">
        <v>0.8</v>
      </c>
      <c r="C23" s="88">
        <f>ROUND($C$17*B23,0)</f>
        <v/>
      </c>
      <c r="D23" s="89">
        <f>$C$21</f>
        <v/>
      </c>
      <c r="E23" s="89">
        <f>C23*D23</f>
        <v/>
      </c>
    </row>
    <row r="24">
      <c r="A24" s="90" t="inlineStr">
        <is>
          <t>Moderado</t>
        </is>
      </c>
      <c r="B24" s="91" t="n">
        <v>0.5</v>
      </c>
      <c r="C24" s="92">
        <f>ROUND($C$17*B24,0)</f>
        <v/>
      </c>
      <c r="D24" s="93">
        <f>$C$21</f>
        <v/>
      </c>
      <c r="E24" s="93">
        <f>C24*D24</f>
        <v/>
      </c>
    </row>
    <row r="25">
      <c r="A25" s="94" t="inlineStr">
        <is>
          <t>Pesimista</t>
        </is>
      </c>
      <c r="B25" s="95" t="n">
        <v>0.3</v>
      </c>
      <c r="C25" s="96">
        <f>ROUND($C$17*B25,0)</f>
        <v/>
      </c>
      <c r="D25" s="97">
        <f>$C$21</f>
        <v/>
      </c>
      <c r="E25" s="97">
        <f>C25*D25</f>
        <v/>
      </c>
    </row>
    <row r="26" ht="6" customHeight="1" s="35"/>
    <row r="27" ht="18" customHeight="1" s="35">
      <c r="A27" s="45" t="inlineStr">
        <is>
          <t>12. PROYECCIÓN DE DEMANDA E INGRESOS A 5 AÑOS  (tasa de crecimiento anual: 15.0%)</t>
        </is>
      </c>
    </row>
    <row r="28" ht="30" customHeight="1" s="35">
      <c r="A28" s="46" t="inlineStr">
        <is>
          <t>Año</t>
        </is>
      </c>
      <c r="B28" s="46" t="inlineStr">
        <is>
          <t>Susc. Optimista</t>
        </is>
      </c>
      <c r="C28" s="46" t="inlineStr">
        <is>
          <t>Susc. Moderado</t>
        </is>
      </c>
      <c r="D28" s="46" t="inlineStr">
        <is>
          <t>Ingresos Optimista (S/.)</t>
        </is>
      </c>
      <c r="E28" s="46" t="inlineStr">
        <is>
          <t>Ingresos Moderado (S/.)</t>
        </is>
      </c>
      <c r="F28" s="46" t="inlineStr">
        <is>
          <t>Ingresos Pesimista (S/.)</t>
        </is>
      </c>
    </row>
    <row r="29" ht="15" customHeight="1" s="35">
      <c r="A29" s="98" t="n">
        <v>2027</v>
      </c>
      <c r="B29" s="76">
        <f>C23</f>
        <v/>
      </c>
      <c r="C29" s="76">
        <f>C24</f>
        <v/>
      </c>
      <c r="D29" s="80">
        <f>E23</f>
        <v/>
      </c>
      <c r="E29" s="80">
        <f>E24</f>
        <v/>
      </c>
      <c r="F29" s="80">
        <f>E25</f>
        <v/>
      </c>
    </row>
    <row r="30" ht="15" customHeight="1" s="35">
      <c r="A30" s="98" t="n">
        <v>2028</v>
      </c>
      <c r="B30" s="76">
        <f>ROUND(B29*1.15,0)</f>
        <v/>
      </c>
      <c r="C30" s="76">
        <f>ROUND(C29*1.15,0)</f>
        <v/>
      </c>
      <c r="D30" s="80">
        <f>D29*1.15</f>
        <v/>
      </c>
      <c r="E30" s="80">
        <f>E29*1.15</f>
        <v/>
      </c>
      <c r="F30" s="80">
        <f>F29*1.15</f>
        <v/>
      </c>
    </row>
    <row r="31" ht="15" customHeight="1" s="35">
      <c r="A31" s="98" t="n">
        <v>2029</v>
      </c>
      <c r="B31" s="76">
        <f>ROUND(B30*1.15,0)</f>
        <v/>
      </c>
      <c r="C31" s="76">
        <f>ROUND(C30*1.15,0)</f>
        <v/>
      </c>
      <c r="D31" s="80">
        <f>D30*1.15</f>
        <v/>
      </c>
      <c r="E31" s="80">
        <f>E30*1.15</f>
        <v/>
      </c>
      <c r="F31" s="80">
        <f>F30*1.15</f>
        <v/>
      </c>
    </row>
    <row r="32" ht="15" customHeight="1" s="35">
      <c r="A32" s="98" t="n">
        <v>2030</v>
      </c>
      <c r="B32" s="76">
        <f>ROUND(B31*1.15,0)</f>
        <v/>
      </c>
      <c r="C32" s="76">
        <f>ROUND(C31*1.15,0)</f>
        <v/>
      </c>
      <c r="D32" s="80">
        <f>D31*1.15</f>
        <v/>
      </c>
      <c r="E32" s="80">
        <f>E31*1.15</f>
        <v/>
      </c>
      <c r="F32" s="80">
        <f>F31*1.15</f>
        <v/>
      </c>
    </row>
    <row r="33" ht="15" customHeight="1" s="35">
      <c r="A33" s="98" t="n">
        <v>2031</v>
      </c>
      <c r="B33" s="76">
        <f>ROUND(B32*1.15,0)</f>
        <v/>
      </c>
      <c r="C33" s="76">
        <f>ROUND(C32*1.15,0)</f>
        <v/>
      </c>
      <c r="D33" s="80">
        <f>D32*1.15</f>
        <v/>
      </c>
      <c r="E33" s="80">
        <f>E32*1.15</f>
        <v/>
      </c>
      <c r="F33" s="80">
        <f>F32*1.15</f>
        <v/>
      </c>
    </row>
    <row r="35" ht="14" customHeight="1" s="35">
      <c r="A35" s="52" t="inlineStr">
        <is>
          <t>Fuentes: MINEDU 2024 (docentes Lima); Encuesta propia – 100 docentes (abril 2026); Tasa de crecimiento: HolonIQ EdTech LATAM Report 2024 (15% CAGR proyectado para EdTech Perú/LATAM).</t>
        </is>
      </c>
    </row>
  </sheetData>
  <mergeCells count="11">
    <mergeCell ref="D21:F21"/>
    <mergeCell ref="A2:F2"/>
    <mergeCell ref="A10:F10"/>
    <mergeCell ref="A1:F1"/>
    <mergeCell ref="A9:F9"/>
    <mergeCell ref="A27:F27"/>
    <mergeCell ref="D17:F17"/>
    <mergeCell ref="A18:F18"/>
    <mergeCell ref="A35:F35"/>
    <mergeCell ref="A20:F20"/>
    <mergeCell ref="D16:F1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2026-04-16T03:47:20Z</dcterms:created>
  <dcterms:modified xmlns:dcterms="http://purl.org/dc/terms/" xmlns:xsi="http://www.w3.org/2001/XMLSchema-instance" xsi:type="dcterms:W3CDTF">2026-04-16T03:47:29Z</dcterms:modified>
</cp:coreProperties>
</file>